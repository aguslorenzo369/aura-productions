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DECISIONES" sheetId="4" state="visible" r:id="rId4"/>
    <sheet name="AHORROS" sheetId="5" state="visible" r:id="rId5"/>
    <sheet name="INFRAESTRUCTURA" sheetId="6" state="visible" r:id="rId6"/>
  </sheets>
  <definedNames>
    <definedName name="_xlnm._FilterDatabase" localSheetId="1" hidden="1">'COSTOS UNIFICADOS'!$A$4:$L$4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color rgb="00C00000"/>
      <sz val="11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0" fontId="11" fillId="0" borderId="0" pivotButton="0" quotePrefix="0" xfId="0"/>
    <xf numFmtId="0" fontId="12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Por defecto $1.535 = dólar oficial venta del Banco Nación al 02/09/2026.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Sin cotizar = sólo hay un estimado del sheet, o ni eso.</t>
        </is>
      </c>
    </row>
    <row r="9" ht="30" customHeight="1">
      <c r="A9" s="3" t="inlineStr">
        <is>
          <t>Regla del total</t>
        </is>
      </c>
      <c r="B9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0" ht="30" customHeight="1">
      <c r="A10" s="3" t="inlineStr">
        <is>
          <t>IVA</t>
        </is>
      </c>
      <c r="B10" s="4" t="inlineStr">
        <is>
          <t>Las cotizaciones argentinas casi todas vienen sin IVA. La columna IVA aplica la alícuota de cada una (21% general, 10,5% el servicio médico) para llegar al costo real.</t>
        </is>
      </c>
    </row>
    <row r="11" ht="8" customHeight="1">
      <c r="A11" s="5" t="inlineStr"/>
      <c r="B11" s="4" t="inlineStr"/>
    </row>
    <row r="12" ht="30" customHeight="1">
      <c r="A12" s="3" t="inlineStr">
        <is>
          <t>Advertencia 1 — vencimientos</t>
        </is>
      </c>
      <c r="B12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3" ht="30" customHeight="1">
      <c r="A13" s="3" t="inlineStr">
        <is>
          <t>Advertencia 2 — huecos</t>
        </is>
      </c>
      <c r="B13" s="4" t="inlineStr">
        <is>
          <t>Catering, vuelos y alojamiento del equipo no tienen ninguna cotización cerrada. Catering entra al total con el estimado del sheet (US$39.820); vuelos y alojamiento entran en cero porque no hay ni estimado. El costo por persona es, por lo tanto, un piso.</t>
        </is>
      </c>
    </row>
    <row r="14" ht="30" customHeight="1">
      <c r="A14" s="3" t="inlineStr">
        <is>
          <t>Advertencia 3 — facturación</t>
        </is>
      </c>
      <c r="B14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15" ht="8" customHeight="1">
      <c r="A15" s="5" t="inlineStr"/>
      <c r="B15" s="4" t="inlineStr"/>
    </row>
    <row r="16" ht="30" customHeight="1">
      <c r="A16" s="3" t="inlineStr">
        <is>
          <t>Fuentes de mail</t>
        </is>
      </c>
      <c r="B16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17" ht="30" customHeight="1">
      <c r="A17" s="3" t="inlineStr">
        <is>
          <t>Fuente de planilla</t>
        </is>
      </c>
      <c r="B17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4" customWidth="1" min="9" max="9"/>
    <col width="15" customWidth="1" min="10" max="10"/>
    <col width="14" customWidth="1" min="11" max="11"/>
    <col width="62" customWidth="1" min="12" max="12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Total USD</t>
        </is>
      </c>
      <c r="J4" s="6" t="inlineStr">
        <is>
          <t>Estimado del sheet
(USD)</t>
        </is>
      </c>
      <c r="K4" s="6" t="inlineStr">
        <is>
          <t>Diferencia</t>
        </is>
      </c>
      <c r="L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4">
        <f>IF(D6="Bonificado",0,IF(H6="",N(J6),IF(E6="USD",H6,H6/TABLERO!$C$4)))</f>
        <v/>
      </c>
      <c r="J6" s="12" t="n">
        <v>70000</v>
      </c>
      <c r="K6" s="14">
        <f>IF(D6="Alternativa","",I6-N(J6))</f>
        <v/>
      </c>
      <c r="L6" s="15" t="inlineStr">
        <is>
          <t>Contrato CC-00957 · hoja PAGOS del master (US$43.446 abonados el 27/04)</t>
        </is>
      </c>
    </row>
    <row r="7" ht="42" customHeight="1">
      <c r="A7" s="9" t="inlineStr">
        <is>
          <t>Infraestructura y mobiliario de stands</t>
        </is>
      </c>
      <c r="B7" s="10" t="inlineStr">
        <is>
          <t>La Rural — Jefatura de Infraestructura</t>
        </is>
      </c>
      <c r="C7" s="11" t="inlineStr">
        <is>
          <t>Definido: armado de los stands y su mobiliario. Stand de staff 100 m², stand de producción menos de 50 m², y el mobiliario del camarín de speakers. Falta pedirles los espejos.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4">
        <f>IF(D7="Bonificado",0,IF(H7="",N(J7),IF(E7="USD",H7,H7/TABLERO!$C$4)))</f>
        <v/>
      </c>
      <c r="J7" s="12" t="n"/>
      <c r="K7" s="14">
        <f>IF(D7="Alternativa","",I7-N(J7))</f>
        <v/>
      </c>
      <c r="L7" s="15" t="inlineStr">
        <is>
          <t>Definición de Agustina sobre el presupuesto de $66.494.708 del 17/08 · ver hoja AHORROS</t>
        </is>
      </c>
    </row>
    <row r="8" ht="42" customHeight="1">
      <c r="A8" s="16" t="inlineStr">
        <is>
          <t>Sillas del público (5.500)</t>
        </is>
      </c>
      <c r="B8" s="17" t="inlineStr">
        <is>
          <t>FDL Eventos</t>
        </is>
      </c>
      <c r="C8" s="18" t="inlineStr">
        <is>
          <t>4.500 sillas plásticas Munro reforzadas + 1.000 sillas hotel negro + flete. NO incluye armado.</t>
        </is>
      </c>
      <c r="D8" s="16" t="inlineStr">
        <is>
          <t>Cotizado</t>
        </is>
      </c>
      <c r="E8" s="17" t="inlineStr">
        <is>
          <t>ARS</t>
        </is>
      </c>
      <c r="F8" s="19" t="n">
        <v>25800000</v>
      </c>
      <c r="G8" s="20" t="n">
        <v>0.21</v>
      </c>
      <c r="H8" s="21">
        <f>IF(F8="","",F8*(1+N(G8)))</f>
        <v/>
      </c>
      <c r="I8" s="22">
        <f>IF(D8="Bonificado",0,IF(H8="",N(J8),IF(E8="USD",H8,H8/TABLERO!$C$4)))</f>
        <v/>
      </c>
      <c r="J8" s="23" t="n">
        <v>16500</v>
      </c>
      <c r="K8" s="22">
        <f>IF(D8="Alternativa","",I8-N(J8))</f>
        <v/>
      </c>
      <c r="L8" s="24" t="inlineStr">
        <is>
          <t>Mail fdleventos@gmail.com 07/08/2026 · pendiente de resolver facturación al exterior</t>
        </is>
      </c>
    </row>
    <row r="9" ht="42" customHeight="1">
      <c r="A9" s="25" t="inlineStr">
        <is>
          <t>Montaje, acomodación y desmontaje de sillas</t>
        </is>
      </c>
      <c r="B9" s="26" t="inlineStr">
        <is>
          <t>En negociación</t>
        </is>
      </c>
      <c r="C9" s="27" t="inlineStr">
        <is>
          <t>Montaje previo, acomodación el sábado a la noche después de la dinámica y desmontaje el domingo.</t>
        </is>
      </c>
      <c r="D9" s="25" t="inlineStr">
        <is>
          <t>En negociación</t>
        </is>
      </c>
      <c r="E9" s="26" t="inlineStr">
        <is>
          <t>ARS</t>
        </is>
      </c>
      <c r="F9" s="28" t="n">
        <v>900000</v>
      </c>
      <c r="G9" s="29" t="n"/>
      <c r="H9" s="30">
        <f>IF(F9="","",F9*(1+N(G9)))</f>
        <v/>
      </c>
      <c r="I9" s="31">
        <f>IF(D9="Bonificado",0,IF(H9="",N(J9),IF(E9="USD",H9,H9/TABLERO!$C$4)))</f>
        <v/>
      </c>
      <c r="J9" s="32" t="n"/>
      <c r="K9" s="31">
        <f>IF(D9="Alternativa","",I9-N(J9))</f>
        <v/>
      </c>
      <c r="L9" s="33" t="inlineStr">
        <is>
          <t>Negociación de Agustina · cerrar el número antes de firmar las sillas</t>
        </is>
      </c>
    </row>
    <row r="10" ht="42" customHeight="1">
      <c r="A10" s="25" t="inlineStr">
        <is>
          <t>Replanteo de sillas (ingeniero)</t>
        </is>
      </c>
      <c r="B10" s="26" t="inlineStr">
        <is>
          <t>Sin cotizar</t>
        </is>
      </c>
      <c r="C10" s="27" t="inlineStr">
        <is>
          <t>Replanteo del layout de sillas del pabellón. Confirmado que va aparte de la dirección técnica de La Rural.</t>
        </is>
      </c>
      <c r="D10" s="25" t="inlineStr">
        <is>
          <t>Sin cotizar</t>
        </is>
      </c>
      <c r="E10" s="26" t="inlineStr">
        <is>
          <t>USD</t>
        </is>
      </c>
      <c r="F10" s="32" t="n"/>
      <c r="G10" s="29" t="n"/>
      <c r="H10" s="31">
        <f>IF(F10="","",F10*(1+N(G10)))</f>
        <v/>
      </c>
      <c r="I10" s="31">
        <f>IF(D10="Bonificado",0,IF(H10="",N(J10),IF(E10="USD",H10,H10/TABLERO!$C$4)))</f>
        <v/>
      </c>
      <c r="J10" s="32" t="n"/>
      <c r="K10" s="31">
        <f>IF(D10="Alternativa","",I10-N(J10))</f>
        <v/>
      </c>
      <c r="L10" s="33" t="inlineStr">
        <is>
          <t>Pendiente de pedir presupuesto</t>
        </is>
      </c>
    </row>
    <row r="11" ht="42" customHeight="1">
      <c r="A11" s="16" t="inlineStr">
        <is>
          <t>Conectividad WiFi</t>
        </is>
      </c>
      <c r="B11" s="17" t="inlineStr">
        <is>
          <t>La Rural — Servicios de Conectividad</t>
        </is>
      </c>
      <c r="C11" s="18" t="inlineStr">
        <is>
          <t>2 redes privadas de 30 Mbps (técnica + staff/acreditación), del 2 al 4 de octubre</t>
        </is>
      </c>
      <c r="D11" s="16" t="inlineStr">
        <is>
          <t>Cotizado</t>
        </is>
      </c>
      <c r="E11" s="17" t="inlineStr">
        <is>
          <t>ARS</t>
        </is>
      </c>
      <c r="F11" s="19" t="n">
        <v>1466063.84</v>
      </c>
      <c r="G11" s="20" t="n">
        <v>0.21</v>
      </c>
      <c r="H11" s="21">
        <f>IF(F11="","",F11*(1+N(G11)))</f>
        <v/>
      </c>
      <c r="I11" s="22">
        <f>IF(D11="Bonificado",0,IF(H11="",N(J11),IF(E11="USD",H11,H11/TABLERO!$C$4)))</f>
        <v/>
      </c>
      <c r="J11" s="23" t="n">
        <v>800</v>
      </c>
      <c r="K11" s="22">
        <f>IF(D11="Alternativa","",I11-N(J11))</f>
        <v/>
      </c>
      <c r="L11" s="24" t="inlineStr">
        <is>
          <t>Mail conectividad@larural.com.ar 05/08/2026 · presupuesto N.º 2, base IPC junio (el del 16/06 era $1.438.728)</t>
        </is>
      </c>
    </row>
    <row r="12">
      <c r="A12" s="34" t="inlineStr">
        <is>
          <t>Subtotal Sede</t>
        </is>
      </c>
      <c r="B12" s="35" t="n"/>
      <c r="C12" s="35" t="n"/>
      <c r="D12" s="35" t="n"/>
      <c r="E12" s="35" t="n"/>
      <c r="F12" s="35" t="n"/>
      <c r="G12" s="35" t="n"/>
      <c r="H12" s="35" t="n"/>
      <c r="I12" s="36">
        <f>SUMIF($D$6:$D$11,"&lt;&gt;Alternativa",$I$6:$I$11)</f>
        <v/>
      </c>
      <c r="J12" s="36">
        <f>SUM($J$6:$J$11)</f>
        <v/>
      </c>
      <c r="K12" s="36">
        <f>I12-J12</f>
        <v/>
      </c>
      <c r="L12" s="35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4">
        <f>IF(D14="Bonificado",0,IF(H14="",N(J14),IF(E14="USD",H14,H14/TABLERO!$C$4)))</f>
        <v/>
      </c>
      <c r="J14" s="12" t="n">
        <v>34000</v>
      </c>
      <c r="K14" s="14">
        <f>IF(D14="Alternativa","",I14-N(J14))</f>
        <v/>
      </c>
      <c r="L14" s="15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37" t="n">
        <v>24500000</v>
      </c>
      <c r="G15" s="13" t="n"/>
      <c r="H15" s="38">
        <f>IF(F15="","",F15*(1+N(G15)))</f>
        <v/>
      </c>
      <c r="I15" s="14">
        <f>IF(D15="Bonificado",0,IF(H15="",N(J15),IF(E15="USD",H15,H15/TABLERO!$C$4)))</f>
        <v/>
      </c>
      <c r="J15" s="12" t="n"/>
      <c r="K15" s="14">
        <f>IF(D15="Alternativa","",I15-N(J15))</f>
        <v/>
      </c>
      <c r="L15" s="15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4">
        <f>IF(D16="Bonificado",0,IF(H16="",N(J16),IF(E16="USD",H16,H16/TABLERO!$C$4)))</f>
        <v/>
      </c>
      <c r="J16" s="12" t="n"/>
      <c r="K16" s="14">
        <f>IF(D16="Alternativa","",I16-N(J16))</f>
        <v/>
      </c>
      <c r="L16" s="15" t="inlineStr">
        <is>
          <t>Negociación de Agustina</t>
        </is>
      </c>
    </row>
    <row r="17" ht="42" customHeight="1">
      <c r="A17" s="39" t="inlineStr">
        <is>
          <t>Bonificado por el proveedor de técnica</t>
        </is>
      </c>
      <c r="B17" s="40" t="inlineStr">
        <is>
          <t>Sin costo</t>
        </is>
      </c>
      <c r="C17" s="41" t="inlineStr">
        <is>
          <t>500 vallas y efectos especiales, sin cargo. Es lo que evita el gasto de vallado que estaba presupuestado.</t>
        </is>
      </c>
      <c r="D17" s="39" t="inlineStr">
        <is>
          <t>Bonificado</t>
        </is>
      </c>
      <c r="E17" s="40" t="inlineStr">
        <is>
          <t>USD</t>
        </is>
      </c>
      <c r="F17" s="42" t="n"/>
      <c r="G17" s="43" t="n"/>
      <c r="H17" s="44">
        <f>IF(F17="","",F17*(1+N(G17)))</f>
        <v/>
      </c>
      <c r="I17" s="44">
        <f>IF(D17="Bonificado",0,IF(H17="",N(J17),IF(E17="USD",H17,H17/TABLERO!$C$4)))</f>
        <v/>
      </c>
      <c r="J17" s="42" t="n"/>
      <c r="K17" s="44">
        <f>IF(D17="Alternativa","",I17-N(J17))</f>
        <v/>
      </c>
      <c r="L17" s="45" t="inlineStr">
        <is>
          <t>Negociación de Agustina</t>
        </is>
      </c>
    </row>
    <row r="18">
      <c r="A18" s="34" t="inlineStr">
        <is>
          <t>Subtotal Técnica</t>
        </is>
      </c>
      <c r="B18" s="35" t="n"/>
      <c r="C18" s="35" t="n"/>
      <c r="D18" s="35" t="n"/>
      <c r="E18" s="35" t="n"/>
      <c r="F18" s="35" t="n"/>
      <c r="G18" s="35" t="n"/>
      <c r="H18" s="35" t="n"/>
      <c r="I18" s="36">
        <f>SUMIF($D$14:$D$17,"&lt;&gt;Alternativa",$I$14:$I$17)</f>
        <v/>
      </c>
      <c r="J18" s="36">
        <f>SUM($J$14:$J$17)</f>
        <v/>
      </c>
      <c r="K18" s="36">
        <f>I18-J18</f>
        <v/>
      </c>
      <c r="L18" s="35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42" customHeight="1">
      <c r="A20" s="16" t="inlineStr">
        <is>
          <t>Seguridad y vigilancia</t>
        </is>
      </c>
      <c r="B20" s="17" t="inlineStr">
        <is>
          <t>Road Seguridad S.A.</t>
        </is>
      </c>
      <c r="C20" s="18" t="inlineStr">
        <is>
          <t>263 horas de vigilancia (armado, evento y desarme) + planos de evacuación $715.000 + supervisión general $795.000</t>
        </is>
      </c>
      <c r="D20" s="16" t="inlineStr">
        <is>
          <t>Cotizado</t>
        </is>
      </c>
      <c r="E20" s="17" t="inlineStr">
        <is>
          <t>ARS</t>
        </is>
      </c>
      <c r="F20" s="19" t="n">
        <v>7218928.96</v>
      </c>
      <c r="G20" s="20" t="n">
        <v>0.21</v>
      </c>
      <c r="H20" s="21">
        <f>IF(F20="","",F20*(1+N(G20)))</f>
        <v/>
      </c>
      <c r="I20" s="22">
        <f>IF(D20="Bonificado",0,IF(H20="",N(J20),IF(E20="USD",H20,H20/TABLERO!$C$4)))</f>
        <v/>
      </c>
      <c r="J20" s="23" t="n"/>
      <c r="K20" s="22">
        <f>IF(D20="Alternativa","",I20-N(J20))</f>
        <v/>
      </c>
      <c r="L20" s="24" t="inlineStr">
        <is>
          <t>Mail presupuestos@roadseguridad.com.ar 12/08/2026 (versión V3, lista para firmar)</t>
        </is>
      </c>
    </row>
    <row r="21" ht="42" customHeight="1">
      <c r="A21" s="16" t="inlineStr">
        <is>
          <t>Servicio médico</t>
        </is>
      </c>
      <c r="B21" s="17" t="inlineStr">
        <is>
          <t>Vittal — Socorro Médico Privado</t>
        </is>
      </c>
      <c r="C21" s="18" t="inlineStr">
        <is>
          <t>1 UTIM TRI con dos médicos + enfermero/chofer, los tres días (2, 3 y 4 de octubre)</t>
        </is>
      </c>
      <c r="D21" s="16" t="inlineStr">
        <is>
          <t>Cotizado</t>
        </is>
      </c>
      <c r="E21" s="17" t="inlineStr">
        <is>
          <t>ARS</t>
        </is>
      </c>
      <c r="F21" s="19" t="n">
        <v>6366521.27</v>
      </c>
      <c r="G21" s="20" t="n">
        <v>0.105</v>
      </c>
      <c r="H21" s="21">
        <f>IF(F21="","",F21*(1+N(G21)))</f>
        <v/>
      </c>
      <c r="I21" s="22">
        <f>IF(D21="Bonificado",0,IF(H21="",N(J21),IF(E21="USD",H21,H21/TABLERO!$C$4)))</f>
        <v/>
      </c>
      <c r="J21" s="23" t="n"/>
      <c r="K21" s="22">
        <f>IF(D21="Alternativa","",I21-N(J21))</f>
        <v/>
      </c>
      <c r="L21" s="24" t="inlineStr">
        <is>
          <t>Mail vtomas@vittal.com.ar 28/08/2026 · tarifas actualizadas, sin consultorio</t>
        </is>
      </c>
    </row>
    <row r="22" ht="42" customHeight="1">
      <c r="A22" s="16" t="inlineStr">
        <is>
          <t>Limpieza</t>
        </is>
      </c>
      <c r="B22" s="17" t="inlineStr">
        <is>
          <t>Higia Eventos</t>
        </is>
      </c>
      <c r="C22" s="18" t="inlineStr">
        <is>
          <t>205,5 horas de limpieza: auditorio, baños y guardarropas, del 2 al 5 de octubre</t>
        </is>
      </c>
      <c r="D22" s="16" t="inlineStr">
        <is>
          <t>Cotizado</t>
        </is>
      </c>
      <c r="E22" s="17" t="inlineStr">
        <is>
          <t>ARS</t>
        </is>
      </c>
      <c r="F22" s="19" t="n">
        <v>3367440.91</v>
      </c>
      <c r="G22" s="20" t="n">
        <v>0.21</v>
      </c>
      <c r="H22" s="21">
        <f>IF(F22="","",F22*(1+N(G22)))</f>
        <v/>
      </c>
      <c r="I22" s="22">
        <f>IF(D22="Bonificado",0,IF(H22="",N(J22),IF(E22="USD",H22,H22/TABLERO!$C$4)))</f>
        <v/>
      </c>
      <c r="J22" s="23" t="n"/>
      <c r="K22" s="22">
        <f>IF(D22="Alternativa","",I22-N(J22))</f>
        <v/>
      </c>
      <c r="L22" s="24" t="inlineStr">
        <is>
          <t>Mail higiaeventos 22/06/2026 (reenviado 29/06) · 50% de anticipo antes del armado</t>
        </is>
      </c>
    </row>
    <row r="23" ht="42" customHeight="1">
      <c r="A23" s="16" t="inlineStr">
        <is>
          <t>Retiro de residuos</t>
        </is>
      </c>
      <c r="B23" s="17" t="inlineStr">
        <is>
          <t>Gale Servicios</t>
        </is>
      </c>
      <c r="C23" s="18" t="inlineStr">
        <is>
          <t>Roll off con disposición final incluida. Cotización base abril 2026.</t>
        </is>
      </c>
      <c r="D23" s="16" t="inlineStr">
        <is>
          <t>Cotizado</t>
        </is>
      </c>
      <c r="E23" s="17" t="inlineStr">
        <is>
          <t>ARS</t>
        </is>
      </c>
      <c r="F23" s="19" t="n">
        <v>1471608.62</v>
      </c>
      <c r="G23" s="20" t="n">
        <v>0.21</v>
      </c>
      <c r="H23" s="21">
        <f>IF(F23="","",F23*(1+N(G23)))</f>
        <v/>
      </c>
      <c r="I23" s="22">
        <f>IF(D23="Bonificado",0,IF(H23="",N(J23),IF(E23="USD",H23,H23/TABLERO!$C$4)))</f>
        <v/>
      </c>
      <c r="J23" s="23" t="n"/>
      <c r="K23" s="22">
        <f>IF(D23="Alternativa","",I23-N(J23))</f>
        <v/>
      </c>
      <c r="L23" s="24" t="inlineStr">
        <is>
          <t>Mail higiaeventos 22/06/2026 (adjunto Gale) · se factura 100% por adelantado</t>
        </is>
      </c>
    </row>
    <row r="24" ht="42" customHeight="1">
      <c r="A24" s="25" t="inlineStr">
        <is>
          <t>Baños químicos — ecobaños</t>
        </is>
      </c>
      <c r="B24" s="26" t="inlineStr">
        <is>
          <t>Sin cotizar</t>
        </is>
      </c>
      <c r="C24" s="27" t="inlineStr">
        <is>
          <t>Decidido: ecobaños, no los químicos tradicionales. Más limpios, mejor a la vista y ecofriendly. Falta pedir presupuesto.</t>
        </is>
      </c>
      <c r="D24" s="25" t="inlineStr">
        <is>
          <t>Sin cotizar</t>
        </is>
      </c>
      <c r="E24" s="26" t="inlineStr">
        <is>
          <t>USD</t>
        </is>
      </c>
      <c r="F24" s="32" t="n"/>
      <c r="G24" s="29" t="n"/>
      <c r="H24" s="31">
        <f>IF(F24="","",F24*(1+N(G24)))</f>
        <v/>
      </c>
      <c r="I24" s="31">
        <f>IF(D24="Bonificado",0,IF(H24="",N(J24),IF(E24="USD",H24,H24/TABLERO!$C$4)))</f>
        <v/>
      </c>
      <c r="J24" s="32" t="n"/>
      <c r="K24" s="31">
        <f>IF(D24="Alternativa","",I24-N(J24))</f>
        <v/>
      </c>
      <c r="L24" s="33" t="inlineStr">
        <is>
          <t>Decisión de Agustina · pendiente de cotizar</t>
        </is>
      </c>
    </row>
    <row r="25" ht="42" customHeight="1">
      <c r="A25" s="16" t="inlineStr">
        <is>
          <t>Seguro de accidentes personales</t>
        </is>
      </c>
      <c r="B25" s="17" t="inlineStr">
        <is>
          <t>Chanes Seguros</t>
        </is>
      </c>
      <c r="C25" s="18" t="inlineStr">
        <is>
          <t>Cobertura MIA (muerte, invalidez y asistencia médica) para 150 personas, exigida por La Rural</t>
        </is>
      </c>
      <c r="D25" s="16" t="inlineStr">
        <is>
          <t>Cotizado</t>
        </is>
      </c>
      <c r="E25" s="17" t="inlineStr">
        <is>
          <t>ARS</t>
        </is>
      </c>
      <c r="F25" s="19" t="n">
        <v>953151.9300000001</v>
      </c>
      <c r="G25" s="20" t="n"/>
      <c r="H25" s="21">
        <f>IF(F25="","",F25*(1+N(G25)))</f>
        <v/>
      </c>
      <c r="I25" s="22">
        <f>IF(D25="Bonificado",0,IF(H25="",N(J25),IF(E25="USD",H25,H25/TABLERO!$C$4)))</f>
        <v/>
      </c>
      <c r="J25" s="23" t="n">
        <v>400</v>
      </c>
      <c r="K25" s="22">
        <f>IF(D25="Alternativa","",I25-N(J25))</f>
        <v/>
      </c>
      <c r="L25" s="24" t="inlineStr">
        <is>
          <t>Mail nestor@chanesseguros.com.ar 13/07/2026 · premio único, cotizado para 15-19/07</t>
        </is>
      </c>
    </row>
    <row r="26">
      <c r="A26" s="34" t="inlineStr">
        <is>
          <t>Subtotal Servicios</t>
        </is>
      </c>
      <c r="B26" s="35" t="n"/>
      <c r="C26" s="35" t="n"/>
      <c r="D26" s="35" t="n"/>
      <c r="E26" s="35" t="n"/>
      <c r="F26" s="35" t="n"/>
      <c r="G26" s="35" t="n"/>
      <c r="H26" s="35" t="n"/>
      <c r="I26" s="36">
        <f>SUMIF($D$20:$D$25,"&lt;&gt;Alternativa",$I$20:$I$25)</f>
        <v/>
      </c>
      <c r="J26" s="36">
        <f>SUM($J$20:$J$25)</f>
        <v/>
      </c>
      <c r="K26" s="36">
        <f>I26-J26</f>
        <v/>
      </c>
      <c r="L26" s="35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42" customHeight="1">
      <c r="A28" s="16" t="inlineStr">
        <is>
          <t>Cintas portacredencial (1.300)</t>
        </is>
      </c>
      <c r="B28" s="17" t="inlineStr">
        <is>
          <t>Blocko</t>
        </is>
      </c>
      <c r="C28" s="18" t="inlineStr">
        <is>
          <t>Cinta raso 25 mm impresa 4 colores dos caras + mosquetón zamak, $1.346 c/u</t>
        </is>
      </c>
      <c r="D28" s="16" t="inlineStr">
        <is>
          <t>Cotizado</t>
        </is>
      </c>
      <c r="E28" s="17" t="inlineStr">
        <is>
          <t>ARS</t>
        </is>
      </c>
      <c r="F28" s="19" t="n">
        <v>1749800</v>
      </c>
      <c r="G28" s="20" t="n">
        <v>0.21</v>
      </c>
      <c r="H28" s="21">
        <f>IF(F28="","",F28*(1+N(G28)))</f>
        <v/>
      </c>
      <c r="I28" s="22">
        <f>IF(D28="Bonificado",0,IF(H28="",N(J28),IF(E28="USD",H28,H28/TABLERO!$C$4)))</f>
        <v/>
      </c>
      <c r="J28" s="23" t="n"/>
      <c r="K28" s="22">
        <f>IF(D28="Alternativa","",I28-N(J28))</f>
        <v/>
      </c>
      <c r="L28" s="24" t="inlineStr">
        <is>
          <t>Mail hola@blocko.com.ar 09/06/2026 · producción 3 semanas</t>
        </is>
      </c>
    </row>
    <row r="29" ht="42" customHeight="1">
      <c r="A29" s="9" t="inlineStr">
        <is>
          <t>Pañuelos</t>
        </is>
      </c>
      <c r="B29" s="10" t="inlineStr">
        <is>
          <t>Proveedor Colombia</t>
        </is>
      </c>
      <c r="C29" s="11" t="inlineStr">
        <is>
          <t>Contrato cerrado, 50% abonado el 24/06. Saldo US$5.491 programado al 13/09.</t>
        </is>
      </c>
      <c r="D29" s="9" t="inlineStr">
        <is>
          <t>Contratado</t>
        </is>
      </c>
      <c r="E29" s="10" t="inlineStr">
        <is>
          <t>USD</t>
        </is>
      </c>
      <c r="F29" s="12" t="n">
        <v>10982</v>
      </c>
      <c r="G29" s="13" t="n"/>
      <c r="H29" s="14">
        <f>IF(F29="","",F29*(1+N(G29)))</f>
        <v/>
      </c>
      <c r="I29" s="14">
        <f>IF(D29="Bonificado",0,IF(H29="",N(J29),IF(E29="USD",H29,H29/TABLERO!$C$4)))</f>
        <v/>
      </c>
      <c r="J29" s="12" t="n"/>
      <c r="K29" s="14">
        <f>IF(D29="Alternativa","",I29-N(J29))</f>
        <v/>
      </c>
      <c r="L29" s="15" t="inlineStr">
        <is>
          <t>Hoja PAGOS del master</t>
        </is>
      </c>
    </row>
    <row r="30" ht="42" customHeight="1">
      <c r="A30" s="9" t="inlineStr">
        <is>
          <t>Lanyards</t>
        </is>
      </c>
      <c r="B30" s="10" t="inlineStr">
        <is>
          <t>Proveedor Colombia</t>
        </is>
      </c>
      <c r="C30" s="11" t="inlineStr">
        <is>
          <t>Contrato cerrado, 50% abonado el 25/06. Saldo US$850 al 13/09.</t>
        </is>
      </c>
      <c r="D30" s="9" t="inlineStr">
        <is>
          <t>Contratado</t>
        </is>
      </c>
      <c r="E30" s="10" t="inlineStr">
        <is>
          <t>USD</t>
        </is>
      </c>
      <c r="F30" s="12" t="n">
        <v>1698.59</v>
      </c>
      <c r="G30" s="13" t="n"/>
      <c r="H30" s="14">
        <f>IF(F30="","",F30*(1+N(G30)))</f>
        <v/>
      </c>
      <c r="I30" s="14">
        <f>IF(D30="Bonificado",0,IF(H30="",N(J30),IF(E30="USD",H30,H30/TABLERO!$C$4)))</f>
        <v/>
      </c>
      <c r="J30" s="12" t="n"/>
      <c r="K30" s="14">
        <f>IF(D30="Alternativa","",I30-N(J30))</f>
        <v/>
      </c>
      <c r="L30" s="15" t="inlineStr">
        <is>
          <t>Hoja PAGOS del master</t>
        </is>
      </c>
    </row>
    <row r="31" ht="42" customHeight="1">
      <c r="A31" s="9" t="inlineStr">
        <is>
          <t>Gorras</t>
        </is>
      </c>
      <c r="B31" s="10" t="inlineStr">
        <is>
          <t>Proveedor Colombia</t>
        </is>
      </c>
      <c r="C31" s="11" t="inlineStr">
        <is>
          <t>Pagado 100% el 25/06</t>
        </is>
      </c>
      <c r="D31" s="9" t="inlineStr">
        <is>
          <t>Contratado</t>
        </is>
      </c>
      <c r="E31" s="10" t="inlineStr">
        <is>
          <t>USD</t>
        </is>
      </c>
      <c r="F31" s="12" t="n">
        <v>1825</v>
      </c>
      <c r="G31" s="13" t="n"/>
      <c r="H31" s="14">
        <f>IF(F31="","",F31*(1+N(G31)))</f>
        <v/>
      </c>
      <c r="I31" s="14">
        <f>IF(D31="Bonificado",0,IF(H31="",N(J31),IF(E31="USD",H31,H31/TABLERO!$C$4)))</f>
        <v/>
      </c>
      <c r="J31" s="12" t="n">
        <v>5000</v>
      </c>
      <c r="K31" s="14">
        <f>IF(D31="Alternativa","",I31-N(J31))</f>
        <v/>
      </c>
      <c r="L31" s="15" t="inlineStr">
        <is>
          <t>Hoja PAGOS del master</t>
        </is>
      </c>
    </row>
    <row r="32" ht="42" customHeight="1">
      <c r="A32" s="9" t="inlineStr">
        <is>
          <t>Gráfica Argentina</t>
        </is>
      </c>
      <c r="B32" s="10" t="inlineStr">
        <is>
          <t>Proveedor Colombia</t>
        </is>
      </c>
      <c r="C32" s="11" t="inlineStr">
        <is>
          <t>Contrato cerrado, saldo US$1.839 al 13/09</t>
        </is>
      </c>
      <c r="D32" s="9" t="inlineStr">
        <is>
          <t>Contratado</t>
        </is>
      </c>
      <c r="E32" s="10" t="inlineStr">
        <is>
          <t>USD</t>
        </is>
      </c>
      <c r="F32" s="12" t="n">
        <v>2481</v>
      </c>
      <c r="G32" s="13" t="n"/>
      <c r="H32" s="14">
        <f>IF(F32="","",F32*(1+N(G32)))</f>
        <v/>
      </c>
      <c r="I32" s="14">
        <f>IF(D32="Bonificado",0,IF(H32="",N(J32),IF(E32="USD",H32,H32/TABLERO!$C$4)))</f>
        <v/>
      </c>
      <c r="J32" s="12" t="n"/>
      <c r="K32" s="14">
        <f>IF(D32="Alternativa","",I32-N(J32))</f>
        <v/>
      </c>
      <c r="L32" s="15" t="inlineStr">
        <is>
          <t>Hoja PAGOS del master</t>
        </is>
      </c>
    </row>
    <row r="33" ht="42" customHeight="1">
      <c r="A33" s="25" t="inlineStr">
        <is>
          <t>Marquetería y enmarcado</t>
        </is>
      </c>
      <c r="B33" s="26" t="inlineStr">
        <is>
          <t>Sin cotizar</t>
        </is>
      </c>
      <c r="C33" s="27" t="inlineStr">
        <is>
          <t>Enmarcado de las certificaciones y los premios. Rubro nuevo, no estaba en ninguna planilla.</t>
        </is>
      </c>
      <c r="D33" s="25" t="inlineStr">
        <is>
          <t>Sin cotizar</t>
        </is>
      </c>
      <c r="E33" s="26" t="inlineStr">
        <is>
          <t>USD</t>
        </is>
      </c>
      <c r="F33" s="32" t="n"/>
      <c r="G33" s="29" t="n"/>
      <c r="H33" s="31">
        <f>IF(F33="","",F33*(1+N(G33)))</f>
        <v/>
      </c>
      <c r="I33" s="31">
        <f>IF(D33="Bonificado",0,IF(H33="",N(J33),IF(E33="USD",H33,H33/TABLERO!$C$4)))</f>
        <v/>
      </c>
      <c r="J33" s="32" t="n"/>
      <c r="K33" s="31">
        <f>IF(D33="Alternativa","",I33-N(J33))</f>
        <v/>
      </c>
      <c r="L33" s="33" t="inlineStr">
        <is>
          <t>Agregado por Agustina · pendiente de cotizar</t>
        </is>
      </c>
    </row>
    <row r="34" ht="42" customHeight="1">
      <c r="A34" s="25" t="inlineStr">
        <is>
          <t>Resto de merch e impresos</t>
        </is>
      </c>
      <c r="B34" s="26" t="inlineStr">
        <is>
          <t>Varios (merch desde Colombia)</t>
        </is>
      </c>
      <c r="C34" s="27" t="inlineStr">
        <is>
          <t>Contratos, cheques, escarapelas, bolsas, camisetas, mapas, diplomas, placas y manillas</t>
        </is>
      </c>
      <c r="D34" s="25" t="inlineStr">
        <is>
          <t>Sin cotizar</t>
        </is>
      </c>
      <c r="E34" s="26" t="inlineStr">
        <is>
          <t>USD</t>
        </is>
      </c>
      <c r="F34" s="32" t="n"/>
      <c r="G34" s="29" t="n"/>
      <c r="H34" s="31">
        <f>IF(F34="","",F34*(1+N(G34)))</f>
        <v/>
      </c>
      <c r="I34" s="31">
        <f>IF(D34="Bonificado",0,IF(H34="",N(J34),IF(E34="USD",H34,H34/TABLERO!$C$4)))</f>
        <v/>
      </c>
      <c r="J34" s="32" t="n">
        <v>8689</v>
      </c>
      <c r="K34" s="31">
        <f>IF(D34="Alternativa","",I34-N(J34))</f>
        <v/>
      </c>
      <c r="L34" s="33" t="inlineStr">
        <is>
          <t>Estimado de la hoja Argentina del master; sin cotización argentina</t>
        </is>
      </c>
    </row>
    <row r="35">
      <c r="A35" s="34" t="inlineStr">
        <is>
          <t>Subtotal Merch</t>
        </is>
      </c>
      <c r="B35" s="35" t="n"/>
      <c r="C35" s="35" t="n"/>
      <c r="D35" s="35" t="n"/>
      <c r="E35" s="35" t="n"/>
      <c r="F35" s="35" t="n"/>
      <c r="G35" s="35" t="n"/>
      <c r="H35" s="35" t="n"/>
      <c r="I35" s="36">
        <f>SUMIF($D$28:$D$34,"&lt;&gt;Alternativa",$I$28:$I$34)</f>
        <v/>
      </c>
      <c r="J35" s="36">
        <f>SUM($J$28:$J$34)</f>
        <v/>
      </c>
      <c r="K35" s="36">
        <f>I35-J35</f>
        <v/>
      </c>
      <c r="L35" s="35" t="n"/>
    </row>
    <row r="36" ht="20" customHeight="1">
      <c r="A36" s="7" t="inlineStr">
        <is>
          <t>CATERING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42" customHeight="1">
      <c r="A37" s="9" t="inlineStr">
        <is>
          <t>Catering VIP, staff y equipo</t>
        </is>
      </c>
      <c r="B37" s="10" t="inlineStr">
        <is>
          <t>Grupo Ambient</t>
        </is>
      </c>
      <c r="C37" s="11" t="inlineStr">
        <is>
          <t>Número final por las dos propuestas juntas: 600 lunchbox para los VIP + desayuno, almuerzo y cena para 150 personas.</t>
        </is>
      </c>
      <c r="D37" s="9" t="inlineStr">
        <is>
          <t>Cerrado</t>
        </is>
      </c>
      <c r="E37" s="10" t="inlineStr">
        <is>
          <t>USD</t>
        </is>
      </c>
      <c r="F37" s="12" t="n">
        <v>13582</v>
      </c>
      <c r="G37" s="13" t="n"/>
      <c r="H37" s="14">
        <f>IF(F37="","",F37*(1+N(G37)))</f>
        <v/>
      </c>
      <c r="I37" s="14">
        <f>IF(D37="Bonificado",0,IF(H37="",N(J37),IF(E37="USD",H37,H37/TABLERO!$C$4)))</f>
        <v/>
      </c>
      <c r="J37" s="12" t="n">
        <v>33820</v>
      </c>
      <c r="K37" s="14">
        <f>IF(D37="Alternativa","",I37-N(J37))</f>
        <v/>
      </c>
      <c r="L37" s="15" t="inlineStr">
        <is>
          <t>Cierre de Agustina con Grupo Ambient · reemplaza la estimación de $25.000.000</t>
        </is>
      </c>
    </row>
    <row r="38" ht="42" customHeight="1">
      <c r="A38" s="39" t="inlineStr">
        <is>
          <t>Food trucks</t>
        </is>
      </c>
      <c r="B38" s="40" t="inlineStr">
        <is>
          <t>Sin costo</t>
        </is>
      </c>
      <c r="C38" s="41" t="inlineStr">
        <is>
          <t>No los paga la producción.</t>
        </is>
      </c>
      <c r="D38" s="39" t="inlineStr">
        <is>
          <t>Bonificado</t>
        </is>
      </c>
      <c r="E38" s="40" t="inlineStr">
        <is>
          <t>USD</t>
        </is>
      </c>
      <c r="F38" s="42" t="n"/>
      <c r="G38" s="43" t="n"/>
      <c r="H38" s="44">
        <f>IF(F38="","",F38*(1+N(G38)))</f>
        <v/>
      </c>
      <c r="I38" s="44">
        <f>IF(D38="Bonificado",0,IF(H38="",N(J38),IF(E38="USD",H38,H38/TABLERO!$C$4)))</f>
        <v/>
      </c>
      <c r="J38" s="42" t="n"/>
      <c r="K38" s="44">
        <f>IF(D38="Alternativa","",I38-N(J38))</f>
        <v/>
      </c>
      <c r="L38" s="45" t="inlineStr">
        <is>
          <t>Confirmado por Agustina</t>
        </is>
      </c>
    </row>
    <row r="39">
      <c r="A39" s="34" t="inlineStr">
        <is>
          <t>Subtotal Catering</t>
        </is>
      </c>
      <c r="B39" s="35" t="n"/>
      <c r="C39" s="35" t="n"/>
      <c r="D39" s="35" t="n"/>
      <c r="E39" s="35" t="n"/>
      <c r="F39" s="35" t="n"/>
      <c r="G39" s="35" t="n"/>
      <c r="H39" s="35" t="n"/>
      <c r="I39" s="36">
        <f>SUMIF($D$37:$D$38,"&lt;&gt;Alternativa",$I$37:$I$38)</f>
        <v/>
      </c>
      <c r="J39" s="36">
        <f>SUM($J$37:$J$38)</f>
        <v/>
      </c>
      <c r="K39" s="36">
        <f>I39-J39</f>
        <v/>
      </c>
      <c r="L39" s="35" t="n"/>
    </row>
    <row r="40" ht="20" customHeight="1">
      <c r="A40" s="7" t="inlineStr">
        <is>
          <t>PRODUCCIÓN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42" customHeight="1">
      <c r="A41" s="25" t="inlineStr">
        <is>
          <t>Unifilas</t>
        </is>
      </c>
      <c r="B41" s="26" t="inlineStr">
        <is>
          <t>A definir</t>
        </is>
      </c>
      <c r="C41" s="27" t="inlineStr">
        <is>
          <t>Estimado del sheet, sin cotización</t>
        </is>
      </c>
      <c r="D41" s="25" t="inlineStr">
        <is>
          <t>Sin cotizar</t>
        </is>
      </c>
      <c r="E41" s="26" t="inlineStr">
        <is>
          <t>USD</t>
        </is>
      </c>
      <c r="F41" s="32" t="n"/>
      <c r="G41" s="29" t="n"/>
      <c r="H41" s="31">
        <f>IF(F41="","",F41*(1+N(G41)))</f>
        <v/>
      </c>
      <c r="I41" s="31">
        <f>IF(D41="Bonificado",0,IF(H41="",N(J41),IF(E41="USD",H41,H41/TABLERO!$C$4)))</f>
        <v/>
      </c>
      <c r="J41" s="32" t="n">
        <v>1200</v>
      </c>
      <c r="K41" s="31">
        <f>IF(D41="Alternativa","",I41-N(J41))</f>
        <v/>
      </c>
      <c r="L41" s="33" t="inlineStr">
        <is>
          <t>Hoja Argentina del master</t>
        </is>
      </c>
    </row>
    <row r="42" ht="42" customHeight="1">
      <c r="A42" s="39" t="inlineStr">
        <is>
          <t>Vallado (500 vallas)</t>
        </is>
      </c>
      <c r="B42" s="40" t="inlineStr">
        <is>
          <t>Bonificado por técnica</t>
        </is>
      </c>
      <c r="C42" s="41" t="inlineStr">
        <is>
          <t>Las 500 vallas las regala el proveedor de técnica. Estaban presupuestadas en US$1.250.</t>
        </is>
      </c>
      <c r="D42" s="39" t="inlineStr">
        <is>
          <t>Bonificado</t>
        </is>
      </c>
      <c r="E42" s="40" t="inlineStr">
        <is>
          <t>USD</t>
        </is>
      </c>
      <c r="F42" s="42" t="n"/>
      <c r="G42" s="43" t="n"/>
      <c r="H42" s="44">
        <f>IF(F42="","",F42*(1+N(G42)))</f>
        <v/>
      </c>
      <c r="I42" s="44">
        <f>IF(D42="Bonificado",0,IF(H42="",N(J42),IF(E42="USD",H42,H42/TABLERO!$C$4)))</f>
        <v/>
      </c>
      <c r="J42" s="42" t="n">
        <v>1250</v>
      </c>
      <c r="K42" s="44">
        <f>IF(D42="Alternativa","",I42-N(J42))</f>
        <v/>
      </c>
      <c r="L42" s="45" t="inlineStr">
        <is>
          <t>Negociación de Agustina</t>
        </is>
      </c>
    </row>
    <row r="43" ht="42" customHeight="1">
      <c r="A43" s="25" t="inlineStr">
        <is>
          <t>DJ</t>
        </is>
      </c>
      <c r="B43" s="26" t="inlineStr">
        <is>
          <t>A definir</t>
        </is>
      </c>
      <c r="C43" s="27" t="inlineStr">
        <is>
          <t>Estimado del sheet</t>
        </is>
      </c>
      <c r="D43" s="25" t="inlineStr">
        <is>
          <t>Sin cotizar</t>
        </is>
      </c>
      <c r="E43" s="26" t="inlineStr">
        <is>
          <t>USD</t>
        </is>
      </c>
      <c r="F43" s="32" t="n"/>
      <c r="G43" s="29" t="n"/>
      <c r="H43" s="31">
        <f>IF(F43="","",F43*(1+N(G43)))</f>
        <v/>
      </c>
      <c r="I43" s="31">
        <f>IF(D43="Bonificado",0,IF(H43="",N(J43),IF(E43="USD",H43,H43/TABLERO!$C$4)))</f>
        <v/>
      </c>
      <c r="J43" s="32" t="n">
        <v>500</v>
      </c>
      <c r="K43" s="31">
        <f>IF(D43="Alternativa","",I43-N(J43))</f>
        <v/>
      </c>
      <c r="L43" s="33" t="inlineStr">
        <is>
          <t>Hoja Argentina del master</t>
        </is>
      </c>
    </row>
    <row r="44" ht="42" customHeight="1">
      <c r="A44" s="25" t="inlineStr">
        <is>
          <t>Escoltas (2)</t>
        </is>
      </c>
      <c r="B44" s="26" t="inlineStr">
        <is>
          <t>A definir</t>
        </is>
      </c>
      <c r="C44" s="27" t="inlineStr">
        <is>
          <t>Estimado del sheet</t>
        </is>
      </c>
      <c r="D44" s="25" t="inlineStr">
        <is>
          <t>Sin cotizar</t>
        </is>
      </c>
      <c r="E44" s="26" t="inlineStr">
        <is>
          <t>USD</t>
        </is>
      </c>
      <c r="F44" s="32" t="n"/>
      <c r="G44" s="29" t="n"/>
      <c r="H44" s="31">
        <f>IF(F44="","",F44*(1+N(G44)))</f>
        <v/>
      </c>
      <c r="I44" s="31">
        <f>IF(D44="Bonificado",0,IF(H44="",N(J44),IF(E44="USD",H44,H44/TABLERO!$C$4)))</f>
        <v/>
      </c>
      <c r="J44" s="32" t="n">
        <v>1000</v>
      </c>
      <c r="K44" s="31">
        <f>IF(D44="Alternativa","",I44-N(J44))</f>
        <v/>
      </c>
      <c r="L44" s="33" t="inlineStr">
        <is>
          <t>Hoja Argentina del master</t>
        </is>
      </c>
    </row>
    <row r="45" ht="42" customHeight="1">
      <c r="A45" s="25" t="inlineStr">
        <is>
          <t>Master Mind Hit</t>
        </is>
      </c>
      <c r="B45" s="26" t="inlineStr">
        <is>
          <t>A definir</t>
        </is>
      </c>
      <c r="C45" s="27" t="inlineStr">
        <is>
          <t>Sala adicional</t>
        </is>
      </c>
      <c r="D45" s="25" t="inlineStr">
        <is>
          <t>Sin cotizar</t>
        </is>
      </c>
      <c r="E45" s="26" t="inlineStr">
        <is>
          <t>USD</t>
        </is>
      </c>
      <c r="F45" s="32" t="n"/>
      <c r="G45" s="29" t="n"/>
      <c r="H45" s="31">
        <f>IF(F45="","",F45*(1+N(G45)))</f>
        <v/>
      </c>
      <c r="I45" s="31">
        <f>IF(D45="Bonificado",0,IF(H45="",N(J45),IF(E45="USD",H45,H45/TABLERO!$C$4)))</f>
        <v/>
      </c>
      <c r="J45" s="32" t="n">
        <v>3000</v>
      </c>
      <c r="K45" s="31">
        <f>IF(D45="Alternativa","",I45-N(J45))</f>
        <v/>
      </c>
      <c r="L45" s="33" t="inlineStr">
        <is>
          <t>Hoja Argentina del master</t>
        </is>
      </c>
    </row>
    <row r="46" ht="42" customHeight="1">
      <c r="A46" s="25" t="inlineStr">
        <is>
          <t>Personal logístico</t>
        </is>
      </c>
      <c r="B46" s="26" t="inlineStr">
        <is>
          <t>A definir</t>
        </is>
      </c>
      <c r="C46" s="27" t="inlineStr">
        <is>
          <t>La hoja del master lo tiene en US$0</t>
        </is>
      </c>
      <c r="D46" s="25" t="inlineStr">
        <is>
          <t>Sin cotizar</t>
        </is>
      </c>
      <c r="E46" s="26" t="inlineStr">
        <is>
          <t>USD</t>
        </is>
      </c>
      <c r="F46" s="32" t="n"/>
      <c r="G46" s="29" t="n"/>
      <c r="H46" s="31">
        <f>IF(F46="","",F46*(1+N(G46)))</f>
        <v/>
      </c>
      <c r="I46" s="31">
        <f>IF(D46="Bonificado",0,IF(H46="",N(J46),IF(E46="USD",H46,H46/TABLERO!$C$4)))</f>
        <v/>
      </c>
      <c r="J46" s="32" t="n"/>
      <c r="K46" s="31">
        <f>IF(D46="Alternativa","",I46-N(J46))</f>
        <v/>
      </c>
      <c r="L46" s="33" t="inlineStr">
        <is>
          <t>Hoja Argentina del master · valor en cero</t>
        </is>
      </c>
    </row>
    <row r="47" ht="42" customHeight="1">
      <c r="A47" s="9" t="inlineStr">
        <is>
          <t>Intercoms</t>
        </is>
      </c>
      <c r="B47" s="10" t="inlineStr">
        <is>
          <t>Proveedor Colombia</t>
        </is>
      </c>
      <c r="C47" s="11" t="inlineStr">
        <is>
          <t>Contrato US$560, sin abonar, 2 cuotas al 24/08 y 23/09</t>
        </is>
      </c>
      <c r="D47" s="9" t="inlineStr">
        <is>
          <t>Contratado</t>
        </is>
      </c>
      <c r="E47" s="10" t="inlineStr">
        <is>
          <t>USD</t>
        </is>
      </c>
      <c r="F47" s="12" t="n">
        <v>560</v>
      </c>
      <c r="G47" s="13" t="n"/>
      <c r="H47" s="14">
        <f>IF(F47="","",F47*(1+N(G47)))</f>
        <v/>
      </c>
      <c r="I47" s="14">
        <f>IF(D47="Bonificado",0,IF(H47="",N(J47),IF(E47="USD",H47,H47/TABLERO!$C$4)))</f>
        <v/>
      </c>
      <c r="J47" s="12" t="n"/>
      <c r="K47" s="14">
        <f>IF(D47="Alternativa","",I47-N(J47))</f>
        <v/>
      </c>
      <c r="L47" s="15" t="inlineStr">
        <is>
          <t>Hoja PAGOS del master</t>
        </is>
      </c>
    </row>
    <row r="48">
      <c r="A48" s="34" t="inlineStr">
        <is>
          <t>Subtotal Producción</t>
        </is>
      </c>
      <c r="B48" s="35" t="n"/>
      <c r="C48" s="35" t="n"/>
      <c r="D48" s="35" t="n"/>
      <c r="E48" s="35" t="n"/>
      <c r="F48" s="35" t="n"/>
      <c r="G48" s="35" t="n"/>
      <c r="H48" s="35" t="n"/>
      <c r="I48" s="36">
        <f>SUMIF($D$41:$D$47,"&lt;&gt;Alternativa",$I$41:$I$47)</f>
        <v/>
      </c>
      <c r="J48" s="36">
        <f>SUM($J$41:$J$47)</f>
        <v/>
      </c>
      <c r="K48" s="36">
        <f>I48-J48</f>
        <v/>
      </c>
      <c r="L48" s="35" t="n"/>
    </row>
    <row r="49" ht="20" customHeight="1">
      <c r="A49" s="7" t="inlineStr">
        <is>
          <t>EQUIPO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42" customHeight="1">
      <c r="A50" s="25" t="inlineStr">
        <is>
          <t>Vuelos del equipo</t>
        </is>
      </c>
      <c r="B50" s="26" t="inlineStr">
        <is>
          <t>Sin cotizar</t>
        </is>
      </c>
      <c r="C50" s="27" t="inlineStr">
        <is>
          <t>No hay ninguna cotización de vuelos a Buenos Aires en el correo ni monto en la hoja del master</t>
        </is>
      </c>
      <c r="D50" s="25" t="inlineStr">
        <is>
          <t>Sin cotizar</t>
        </is>
      </c>
      <c r="E50" s="26" t="inlineStr">
        <is>
          <t>USD</t>
        </is>
      </c>
      <c r="F50" s="32" t="n"/>
      <c r="G50" s="29" t="n"/>
      <c r="H50" s="31">
        <f>IF(F50="","",F50*(1+N(G50)))</f>
        <v/>
      </c>
      <c r="I50" s="31">
        <f>IF(D50="Bonificado",0,IF(H50="",N(J50),IF(E50="USD",H50,H50/TABLERO!$C$4)))</f>
        <v/>
      </c>
      <c r="J50" s="32" t="n"/>
      <c r="K50" s="31">
        <f>IF(D50="Alternativa","",I50-N(J50))</f>
        <v/>
      </c>
      <c r="L50" s="33" t="inlineStr">
        <is>
          <t>No encontrado</t>
        </is>
      </c>
    </row>
    <row r="51" ht="42" customHeight="1">
      <c r="A51" s="25" t="inlineStr">
        <is>
          <t>Alojamiento del equipo</t>
        </is>
      </c>
      <c r="B51" s="26" t="inlineStr">
        <is>
          <t>Sin cotizar</t>
        </is>
      </c>
      <c r="C51" s="27" t="inlineStr">
        <is>
          <t>No hay cotización de hotel en Buenos Aires en el correo ni monto en la hoja del master</t>
        </is>
      </c>
      <c r="D51" s="25" t="inlineStr">
        <is>
          <t>Sin cotizar</t>
        </is>
      </c>
      <c r="E51" s="26" t="inlineStr">
        <is>
          <t>USD</t>
        </is>
      </c>
      <c r="F51" s="32" t="n"/>
      <c r="G51" s="29" t="n"/>
      <c r="H51" s="31">
        <f>IF(F51="","",F51*(1+N(G51)))</f>
        <v/>
      </c>
      <c r="I51" s="31">
        <f>IF(D51="Bonificado",0,IF(H51="",N(J51),IF(E51="USD",H51,H51/TABLERO!$C$4)))</f>
        <v/>
      </c>
      <c r="J51" s="32" t="n"/>
      <c r="K51" s="31">
        <f>IF(D51="Alternativa","",I51-N(J51))</f>
        <v/>
      </c>
      <c r="L51" s="33" t="inlineStr">
        <is>
          <t>No encontrado</t>
        </is>
      </c>
    </row>
    <row r="52" ht="42" customHeight="1">
      <c r="A52" s="25" t="inlineStr">
        <is>
          <t>Traslados internos y viáticos</t>
        </is>
      </c>
      <c r="B52" s="26" t="inlineStr">
        <is>
          <t>Sin cotizar</t>
        </is>
      </c>
      <c r="C52" s="27" t="inlineStr">
        <is>
          <t>Sin registro</t>
        </is>
      </c>
      <c r="D52" s="25" t="inlineStr">
        <is>
          <t>Sin cotizar</t>
        </is>
      </c>
      <c r="E52" s="26" t="inlineStr">
        <is>
          <t>USD</t>
        </is>
      </c>
      <c r="F52" s="32" t="n"/>
      <c r="G52" s="29" t="n"/>
      <c r="H52" s="31">
        <f>IF(F52="","",F52*(1+N(G52)))</f>
        <v/>
      </c>
      <c r="I52" s="31">
        <f>IF(D52="Bonificado",0,IF(H52="",N(J52),IF(E52="USD",H52,H52/TABLERO!$C$4)))</f>
        <v/>
      </c>
      <c r="J52" s="32" t="n"/>
      <c r="K52" s="31">
        <f>IF(D52="Alternativa","",I52-N(J52))</f>
        <v/>
      </c>
      <c r="L52" s="33" t="inlineStr">
        <is>
          <t>No encontrado</t>
        </is>
      </c>
    </row>
    <row r="53">
      <c r="A53" s="34" t="inlineStr">
        <is>
          <t>Subtotal Equipo</t>
        </is>
      </c>
      <c r="B53" s="35" t="n"/>
      <c r="C53" s="35" t="n"/>
      <c r="D53" s="35" t="n"/>
      <c r="E53" s="35" t="n"/>
      <c r="F53" s="35" t="n"/>
      <c r="G53" s="35" t="n"/>
      <c r="H53" s="35" t="n"/>
      <c r="I53" s="36">
        <f>SUMIF($D$50:$D$52,"&lt;&gt;Alternativa",$I$50:$I$52)</f>
        <v/>
      </c>
      <c r="J53" s="36">
        <f>SUM($J$50:$J$52)</f>
        <v/>
      </c>
      <c r="K53" s="36">
        <f>I53-J53</f>
        <v/>
      </c>
      <c r="L53" s="35" t="n"/>
    </row>
    <row r="55">
      <c r="A55" s="46" t="inlineStr">
        <is>
          <t>COSTO TOTAL DEL EVENTO</t>
        </is>
      </c>
      <c r="I55" s="47">
        <f>I12+I18+I26+I35+I39+I48+I53</f>
        <v/>
      </c>
      <c r="J55" s="47">
        <f>J12+J18+J26+J35+J39+J48+J53</f>
        <v/>
      </c>
      <c r="K55" s="47">
        <f>K12+K18+K26+K35+K39+K48+K53</f>
        <v/>
      </c>
    </row>
  </sheetData>
  <autoFilter ref="A4:L4"/>
  <mergeCells count="7">
    <mergeCell ref="A19:L19"/>
    <mergeCell ref="A49:L49"/>
    <mergeCell ref="A5:L5"/>
    <mergeCell ref="A13:L13"/>
    <mergeCell ref="A36:L36"/>
    <mergeCell ref="A40:L40"/>
    <mergeCell ref="A27:L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48" t="n">
        <v>1530</v>
      </c>
      <c r="E4" s="2" t="inlineStr">
        <is>
          <t>Dólar oficial venta, Banco Nación, 02/09/2026. Editá esta celda y se recalcula todo el libro.</t>
        </is>
      </c>
    </row>
    <row r="6">
      <c r="A6" s="49" t="inlineStr">
        <is>
          <t>COSTO DEL EVENTO</t>
        </is>
      </c>
    </row>
    <row r="7">
      <c r="A7" s="5" t="inlineStr">
        <is>
          <t>Costo total (cotizaciones reales + estimados)</t>
        </is>
      </c>
      <c r="C7" s="50">
        <f>'COSTOS UNIFICADOS'!I55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0">
        <f>'COSTOS UNIFICADOS'!J55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1">
        <f>'COSTOS UNIFICADOS'!K55</f>
        <v/>
      </c>
      <c r="E9" s="2" t="inlineStr">
        <is>
          <t>Cuánto se corre el evento respecto de lo presupuestado, con los precios que hoy están sobre la mesa.</t>
        </is>
      </c>
    </row>
    <row r="11">
      <c r="A11" s="49" t="inlineStr">
        <is>
          <t>COSTO POR PERSONA</t>
        </is>
      </c>
    </row>
    <row r="12">
      <c r="A12" s="52" t="inlineStr">
        <is>
          <t>Base de cálculo</t>
        </is>
      </c>
      <c r="B12" s="52" t="inlineStr">
        <is>
          <t>Personas</t>
        </is>
      </c>
      <c r="C12" s="52" t="inlineStr">
        <is>
          <t>Costo por persona</t>
        </is>
      </c>
      <c r="E12" s="52" t="inlineStr">
        <is>
          <t>Qué incluye</t>
        </is>
      </c>
    </row>
    <row r="13">
      <c r="A13" s="53" t="inlineStr">
        <is>
          <t>Aforo general</t>
        </is>
      </c>
      <c r="B13" s="54" t="n">
        <v>5000</v>
      </c>
      <c r="C13" s="55">
        <f>IFERROR($C$7/B13,"")</f>
        <v/>
      </c>
      <c r="E13" s="2" t="inlineStr">
        <is>
          <t>Asistentes de entrada general según la hoja del master.</t>
        </is>
      </c>
    </row>
    <row r="14">
      <c r="A14" s="53" t="inlineStr">
        <is>
          <t>VIP</t>
        </is>
      </c>
      <c r="B14" s="54" t="n">
        <v>1000</v>
      </c>
      <c r="C14" s="55">
        <f>IFERROR($C$7/B14,"")</f>
        <v/>
      </c>
      <c r="E14" s="2" t="inlineStr">
        <is>
          <t>Asistentes VIP.</t>
        </is>
      </c>
    </row>
    <row r="15">
      <c r="A15" s="53" t="inlineStr">
        <is>
          <t>Asistentes pagos (general + VIP)</t>
        </is>
      </c>
      <c r="B15" s="54" t="n">
        <v>6000</v>
      </c>
      <c r="C15" s="55">
        <f>IFERROR($C$7/B15,"")</f>
        <v/>
      </c>
      <c r="E15" s="2" t="inlineStr">
        <is>
          <t>La base más útil para decidir el precio de la entrada.</t>
        </is>
      </c>
    </row>
    <row r="16">
      <c r="A16" s="53" t="inlineStr">
        <is>
          <t>Mastermind del martes</t>
        </is>
      </c>
      <c r="B16" s="54" t="n">
        <v>246</v>
      </c>
      <c r="C16" s="55">
        <f>IFERROR($C$7/B16,"")</f>
        <v/>
      </c>
      <c r="E16" s="2" t="inlineStr">
        <is>
          <t>Actividad aparte, no comparte la mayoría de los costos.</t>
        </is>
      </c>
    </row>
    <row r="17">
      <c r="A17" s="53" t="inlineStr">
        <is>
          <t>Total de personas en el predio</t>
        </is>
      </c>
      <c r="B17" s="54" t="n">
        <v>6108</v>
      </c>
      <c r="C17" s="55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49" t="inlineStr">
        <is>
          <t>ESTADO DE LOS RUBROS</t>
        </is>
      </c>
    </row>
    <row r="21">
      <c r="A21" s="5" t="inlineStr">
        <is>
          <t>Contratado (hay contrato o anticipo)</t>
        </is>
      </c>
      <c r="C21" s="56">
        <f>SUMIF('COSTOS UNIFICADOS'!$D:$D,"Contratado",'COSTOS UNIFICADOS'!$I:$I)</f>
        <v/>
      </c>
      <c r="E21" s="2" t="inlineStr">
        <is>
          <t>Sede, merch de Colombia e intercoms.</t>
        </is>
      </c>
    </row>
    <row r="22">
      <c r="A22" s="5" t="inlineStr">
        <is>
          <t>Cotizado (hay presupuesto formal)</t>
        </is>
      </c>
      <c r="C22" s="50">
        <f>SUMIF('COSTOS UNIFICADOS'!$D:$D,"Cotizado",'COSTOS UNIFICADOS'!$I:$I)</f>
        <v/>
      </c>
      <c r="E22" s="2" t="inlineStr">
        <is>
          <t>Infraestructura, técnica, seguridad, médico, limpieza, residuos, seguro, WiFi, cintas, sillas.</t>
        </is>
      </c>
    </row>
    <row r="23">
      <c r="A23" s="5" t="inlineStr">
        <is>
          <t>Sin cotizar (sólo estimado o nada)</t>
        </is>
      </c>
      <c r="C23" s="57">
        <f>SUMIF('COSTOS UNIFICADOS'!$D:$D,"Sin cotizar",'COSTOS UNIFICADOS'!$I:$I)</f>
        <v/>
      </c>
      <c r="E23" s="2" t="inlineStr">
        <is>
          <t>Catering, vuelos, alojamiento, unifilas, DJ, escoltas, Master Mind, personal logístico.</t>
        </is>
      </c>
    </row>
    <row r="24">
      <c r="A24" s="2" t="inlineStr">
        <is>
          <t>Alternativas descartadas (no suman)</t>
        </is>
      </c>
      <c r="C24" s="58">
        <f>SUMIF('COSTOS UNIFICADOS'!$D:$D,"Alternativa",'COSTOS UNIFICADOS'!$I:$I)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6" t="inlineStr">
        <is>
          <t>Infraestructura de La Rural</t>
        </is>
      </c>
      <c r="B5" s="18" t="inlineStr">
        <is>
          <t>Presupuesto completo: $66.494.708 (US$43.461), con las 5.000 sillas y todo el mobiliario</t>
        </is>
      </c>
      <c r="C5" s="18" t="inlineStr">
        <is>
          <t>Sólo panelería + dirección técnica + guardias: $16.858.366 (US$11.019). El mobiliario se compra aparte.</t>
        </is>
      </c>
      <c r="D5" s="31">
        <f>(66494708.2-16858366.2)/TABLERO!$C$4</f>
        <v/>
      </c>
      <c r="E5" s="18" t="inlineStr">
        <is>
          <t>Agustina marca ítem por ítem qué se queda. La hoja INFRAESTRUCTURA tiene las 28 líneas del presupuesto para filtrar.</t>
        </is>
      </c>
    </row>
    <row r="6" ht="56" customHeight="1">
      <c r="A6" s="16" t="inlineStr">
        <is>
          <t>Montaje de las sillas</t>
        </is>
      </c>
      <c r="B6" s="18" t="inlineStr">
        <is>
          <t>La Rural con las sillas incluidas y armadas</t>
        </is>
      </c>
      <c r="C6" s="18" t="inlineStr">
        <is>
          <t>FDL Eventos + montaje/acomodación/desmontaje negociado en $900.000</t>
        </is>
      </c>
      <c r="D6" s="22" t="n"/>
      <c r="E6" s="18" t="inlineStr">
        <is>
          <t>Con FDL a $31.218.000 más $900.000 de montaje son US$20.992 contra US$27.778 de La Rural. Cerrar el número del montaje y firmar.</t>
        </is>
      </c>
    </row>
    <row r="7" ht="56" customHeight="1">
      <c r="A7" s="16" t="inlineStr">
        <is>
          <t>Catering — cerrado</t>
        </is>
      </c>
      <c r="B7" s="18" t="inlineStr">
        <is>
          <t>Grupo Ambient: US$13.582 por las dos propuestas</t>
        </is>
      </c>
      <c r="C7" s="18" t="inlineStr">
        <is>
          <t>La planilla tenía US$33.820 estimados</t>
        </is>
      </c>
      <c r="D7" s="31">
        <f>13582-33820</f>
        <v/>
      </c>
      <c r="E7" s="18" t="inlineStr">
        <is>
          <t>Cerrado. Es la mejor negociación del evento: US$20.238 por debajo de lo presupuestado.</t>
        </is>
      </c>
    </row>
    <row r="8" ht="56" customHeight="1">
      <c r="A8" s="16" t="inlineStr">
        <is>
          <t>Rubros nuevos sin cotizar</t>
        </is>
      </c>
      <c r="B8" s="18" t="inlineStr">
        <is>
          <t>Ecobaños, marquetería de certificaciones y premios, replanteo de sillas con ingeniero</t>
        </is>
      </c>
      <c r="C8" s="18" t="inlineStr">
        <is>
          <t>Hoy entran en US$0</t>
        </is>
      </c>
      <c r="D8" s="22" t="n"/>
      <c r="E8" s="18" t="inlineStr">
        <is>
          <t>Pedir las tres cotizaciones esta semana. Son los últimos huecos que quedan además de vuelos y alojamiento.</t>
        </is>
      </c>
    </row>
    <row r="9" ht="56" customHeight="1">
      <c r="A9" s="16" t="inlineStr">
        <is>
          <t>Vuelos y alojamiento del equipo</t>
        </is>
      </c>
      <c r="B9" s="18" t="inlineStr">
        <is>
          <t>Sin cotizar</t>
        </is>
      </c>
      <c r="C9" s="18" t="inlineStr">
        <is>
          <t>Sin cotizar</t>
        </is>
      </c>
      <c r="D9" s="22" t="n"/>
      <c r="E9" s="18" t="inlineStr">
        <is>
          <t>No hay ni un mail ni una línea en el sheet. Con 8 personas de equipo interno, es el hueco más grande que queda.</t>
        </is>
      </c>
    </row>
    <row r="10" ht="56" customHeight="1">
      <c r="A10" s="16" t="inlineStr">
        <is>
          <t>Facturación al exterior</t>
        </is>
      </c>
      <c r="B10" s="18" t="inlineStr">
        <is>
          <t>FDL Eventos y Vittal no confirmaron si pueden facturar a la empresa de EE.UU.</t>
        </is>
      </c>
      <c r="C10" s="18" t="inlineStr">
        <is>
          <t>Buscar proveedores que sí facturen, o resolver un circuito de pago local</t>
        </is>
      </c>
      <c r="D10" s="22" t="n"/>
      <c r="E10" s="18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6" t="inlineStr">
        <is>
          <t>Infraestructura y mobiliario</t>
        </is>
      </c>
      <c r="B5" s="18" t="inlineStr">
        <is>
          <t>Grupo MET, cotización de mobiliario</t>
        </is>
      </c>
      <c r="C5" s="19" t="n">
        <v>40000000</v>
      </c>
      <c r="D5" s="22">
        <f>C5/TABLERO!$C$4</f>
        <v/>
      </c>
      <c r="E5" s="18" t="inlineStr">
        <is>
          <t>Armado de stands + mobiliario, definido por Agustina</t>
        </is>
      </c>
      <c r="F5" s="19" t="n">
        <v>14183100</v>
      </c>
      <c r="G5" s="23" t="n">
        <v>9270</v>
      </c>
      <c r="H5" s="59">
        <f>D5-G5</f>
        <v/>
      </c>
      <c r="I5" s="60">
        <f>IFERROR(H5/D5,"")</f>
        <v/>
      </c>
      <c r="J5" s="24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6" t="inlineStr">
        <is>
          <t>Sillas del público</t>
        </is>
      </c>
      <c r="B6" s="18" t="inlineStr">
        <is>
          <t>La Rural: 5.000 sillas imperio bordó, armado incluido</t>
        </is>
      </c>
      <c r="C6" s="19" t="n">
        <v>42500000</v>
      </c>
      <c r="D6" s="22">
        <f>C6/TABLERO!$C$4</f>
        <v/>
      </c>
      <c r="E6" s="18" t="inlineStr">
        <is>
          <t>FDL Eventos 5.500 sillas + montaje, acomodación y desmontaje</t>
        </is>
      </c>
      <c r="F6" s="19" t="n">
        <v>32118000</v>
      </c>
      <c r="G6" s="22">
        <f>F6/TABLERO!$C$4</f>
        <v/>
      </c>
      <c r="H6" s="59">
        <f>D6-G6</f>
        <v/>
      </c>
      <c r="I6" s="60">
        <f>IFERROR(H6/D6,"")</f>
        <v/>
      </c>
      <c r="J6" s="24" t="inlineStr">
        <is>
          <t>Mail criccio@larural.com.ar 17/08 y mail fdleventos@gmail.com 07/08. El montaje ($900.000) está en negociación.</t>
        </is>
      </c>
    </row>
    <row r="7" ht="46" customHeight="1">
      <c r="A7" s="16" t="inlineStr">
        <is>
          <t>Entelado</t>
        </is>
      </c>
      <c r="B7" s="18" t="inlineStr">
        <is>
          <t>Primera cotización recibida</t>
        </is>
      </c>
      <c r="C7" s="19" t="n">
        <v>39000000</v>
      </c>
      <c r="D7" s="22">
        <f>C7/TABLERO!$C$4</f>
        <v/>
      </c>
      <c r="E7" s="18" t="inlineStr">
        <is>
          <t>Negociado a la mitad</t>
        </is>
      </c>
      <c r="F7" s="19" t="n">
        <v>24500000</v>
      </c>
      <c r="G7" s="22">
        <f>F7/TABLERO!$C$4</f>
        <v/>
      </c>
      <c r="H7" s="59">
        <f>D7-G7</f>
        <v/>
      </c>
      <c r="I7" s="60">
        <f>IFERROR(H7/D7,"")</f>
        <v/>
      </c>
      <c r="J7" s="24" t="inlineStr">
        <is>
          <t>Dato aportado por Agustina; la cotización inicial no está en el correo.</t>
        </is>
      </c>
    </row>
    <row r="8" ht="46" customHeight="1">
      <c r="A8" s="16" t="inlineStr">
        <is>
          <t>Catering</t>
        </is>
      </c>
      <c r="B8" s="18" t="inlineStr">
        <is>
          <t>Primera propuesta de Grupo Ambient</t>
        </is>
      </c>
      <c r="C8" s="19" t="n">
        <v>30000000</v>
      </c>
      <c r="D8" s="22">
        <f>C8/TABLERO!$C$4</f>
        <v/>
      </c>
      <c r="E8" s="18" t="inlineStr">
        <is>
          <t>600 lunchbox VIP + desayuno, almuerzo y cena para 150 personas</t>
        </is>
      </c>
      <c r="F8" s="19" t="n"/>
      <c r="G8" s="23" t="n">
        <v>13582</v>
      </c>
      <c r="H8" s="59">
        <f>D8-G8</f>
        <v/>
      </c>
      <c r="I8" s="60">
        <f>IFERROR(H8/D8,"")</f>
        <v/>
      </c>
      <c r="J8" s="24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6" t="inlineStr">
        <is>
          <t>Vallado del público</t>
        </is>
      </c>
      <c r="B9" s="18" t="inlineStr">
        <is>
          <t>Presupuestado en la hoja de Argentina</t>
        </is>
      </c>
      <c r="C9" s="19" t="n"/>
      <c r="D9" s="23" t="n">
        <v>1250</v>
      </c>
      <c r="E9" s="18" t="inlineStr">
        <is>
          <t>500 vallas bonificadas por el proveedor de técnica</t>
        </is>
      </c>
      <c r="F9" s="19" t="n"/>
      <c r="G9" s="23" t="n">
        <v>0</v>
      </c>
      <c r="H9" s="59">
        <f>D9-G9</f>
        <v/>
      </c>
      <c r="I9" s="60">
        <f>IFERROR(H9/D9,"")</f>
        <v/>
      </c>
      <c r="J9" s="24" t="inlineStr">
        <is>
          <t>Negociación de Agustina. Además bonifican los efectos especiales, que no estaban valorizados.</t>
        </is>
      </c>
    </row>
    <row r="10">
      <c r="A10" s="46" t="inlineStr">
        <is>
          <t>AHORRO TOTAL</t>
        </is>
      </c>
      <c r="D10" s="61">
        <f>SUM(D5:D9)</f>
        <v/>
      </c>
      <c r="G10" s="61">
        <f>SUM(G5:G9)</f>
        <v/>
      </c>
      <c r="H10" s="61">
        <f>SUM(H5:H9)</f>
        <v/>
      </c>
    </row>
    <row r="12">
      <c r="A12" s="62" t="inlineStr">
        <is>
          <t>TÉCNICA — la comparación no es directa</t>
        </is>
      </c>
    </row>
    <row r="13">
      <c r="A13" s="2" t="inlineStr">
        <is>
          <t>Se cerró con Grupo MET en US$60.000 (unos $91.800.000 al dólar de referencia), con todos los agregados que se fueron sumando después de la visita al predio.</t>
        </is>
      </c>
    </row>
    <row r="14">
      <c r="A14" s="2" t="inlineStr">
        <is>
          <t>Las otras cotizaciones fueron sobre el pliego base, que según Agustina no cubría lo que necesita el pabellón. Por eso no se pueden restar sin más:</t>
        </is>
      </c>
    </row>
    <row r="15">
      <c r="A15" s="2" t="inlineStr">
        <is>
          <t xml:space="preserve">   · Sound-Light (16/06): no se pudo abrir el PDF, el mail pesa 33 MB. En el mail del 19/06 se les dice que las otras cotizaciones son "prácticamente la mitad", así que estaba cerca de los $100.000.000.</t>
        </is>
      </c>
    </row>
    <row r="16">
      <c r="A16" s="2" t="inlineStr">
        <is>
          <t xml:space="preserve">   · 2MG (24/06): $53.655.470, con descuento especial $45.000.000 + IVA. Con los adicionales de iluminación y estructura llega a unos $78.000.000.</t>
        </is>
      </c>
    </row>
    <row r="17">
      <c r="A17" s="2" t="inlineStr">
        <is>
          <t xml:space="preserve">   · Prina (18/06): $48.885.000 + IVA = $59.150.850. Validez de 10 días, vencida.</t>
        </is>
      </c>
    </row>
    <row r="18">
      <c r="A18" s="2" t="inlineStr">
        <is>
          <t xml:space="preserve">   · VMG (29/06): $12.625.000 + IVA, sólo las pantallas LED de 65 m².</t>
        </is>
      </c>
    </row>
    <row r="19">
      <c r="A19" s="2" t="inlineStr">
        <is>
          <t>Para poder mostrar un ahorro defendible en técnica hace falta el PDF de Grupo MET y el alcance final, para compararlo contra el mismo alcance de los otros tres.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63" t="inlineStr">
        <is>
          <t xml:space="preserve">  PANELERÍA (montaje de estructuras)</t>
        </is>
      </c>
      <c r="B5" s="64" t="n"/>
      <c r="C5" s="64" t="n"/>
      <c r="D5" s="64" t="n"/>
      <c r="E5" s="64" t="n"/>
      <c r="F5" s="64" t="n"/>
      <c r="G5" s="64" t="n"/>
      <c r="H5" s="64" t="n"/>
    </row>
    <row r="6">
      <c r="A6" s="65" t="n">
        <v>1</v>
      </c>
      <c r="B6" s="65" t="inlineStr">
        <is>
          <t>PANELERÍA (montaje de estructuras)</t>
        </is>
      </c>
      <c r="C6" s="66" t="inlineStr">
        <is>
          <t>Oficina de producción — 25 m² (panelería + puerta + iluminación)</t>
        </is>
      </c>
      <c r="D6" s="67" t="n">
        <v>1314575</v>
      </c>
      <c r="E6" s="55">
        <f>D6/TABLERO!$C$4</f>
        <v/>
      </c>
      <c r="F6" s="68" t="inlineStr">
        <is>
          <t>SÍ</t>
        </is>
      </c>
      <c r="G6" s="69">
        <f>IF(F6="SÍ",D6,0)</f>
        <v/>
      </c>
      <c r="H6" s="65" t="inlineStr"/>
    </row>
    <row r="7">
      <c r="A7" s="65" t="n">
        <v>2</v>
      </c>
      <c r="B7" s="65" t="inlineStr">
        <is>
          <t>PANELERÍA (montaje de estructuras)</t>
        </is>
      </c>
      <c r="C7" s="66" t="inlineStr">
        <is>
          <t>Sala de staff — 100 m² (panelería + puerta + iluminación)</t>
        </is>
      </c>
      <c r="D7" s="67" t="n">
        <v>5258300</v>
      </c>
      <c r="E7" s="55">
        <f>D7/TABLERO!$C$4</f>
        <v/>
      </c>
      <c r="F7" s="68" t="inlineStr">
        <is>
          <t>SÍ</t>
        </is>
      </c>
      <c r="G7" s="69">
        <f>IF(F7="SÍ",D7,0)</f>
        <v/>
      </c>
      <c r="H7" s="65" t="inlineStr"/>
    </row>
    <row r="8">
      <c r="A8" s="65" t="n">
        <v>3</v>
      </c>
      <c r="B8" s="65" t="inlineStr">
        <is>
          <t>PANELERÍA (montaje de estructuras)</t>
        </is>
      </c>
      <c r="C8" s="66" t="inlineStr">
        <is>
          <t>Depósito 8×8 para las 2.500 barras — 64 m²</t>
        </is>
      </c>
      <c r="D8" s="67" t="n">
        <v>3365312</v>
      </c>
      <c r="E8" s="55">
        <f>D8/TABLERO!$C$4</f>
        <v/>
      </c>
      <c r="F8" s="68" t="inlineStr">
        <is>
          <t>SÍ</t>
        </is>
      </c>
      <c r="G8" s="69">
        <f>IF(F8="SÍ",D8,0)</f>
        <v/>
      </c>
      <c r="H8" s="65" t="inlineStr">
        <is>
          <t>Depósito para las 2.500 barras de la dinámica.</t>
        </is>
      </c>
    </row>
    <row r="9">
      <c r="A9" s="63" t="inlineStr">
        <is>
          <t xml:space="preserve">  MOBILIARIO · oficina de producción</t>
        </is>
      </c>
      <c r="B9" s="64" t="n"/>
      <c r="C9" s="64" t="n"/>
      <c r="D9" s="64" t="n"/>
      <c r="E9" s="64" t="n"/>
      <c r="F9" s="64" t="n"/>
      <c r="G9" s="64" t="n"/>
      <c r="H9" s="64" t="n"/>
    </row>
    <row r="10">
      <c r="A10" s="65" t="n">
        <v>4</v>
      </c>
      <c r="B10" s="65" t="inlineStr">
        <is>
          <t>oficina de producción</t>
        </is>
      </c>
      <c r="C10" s="66" t="inlineStr">
        <is>
          <t>Mesa redonda 1,60 ×2</t>
        </is>
      </c>
      <c r="D10" s="67" t="n">
        <v>236000</v>
      </c>
      <c r="E10" s="55">
        <f>D10/TABLERO!$C$4</f>
        <v/>
      </c>
      <c r="F10" s="68" t="inlineStr">
        <is>
          <t>NO</t>
        </is>
      </c>
      <c r="G10" s="69">
        <f>IF(F10="SÍ",D10,0)</f>
        <v/>
      </c>
      <c r="H10" s="65" t="inlineStr"/>
    </row>
    <row r="11">
      <c r="A11" s="65" t="n">
        <v>5</v>
      </c>
      <c r="B11" s="65" t="inlineStr">
        <is>
          <t>oficina de producción</t>
        </is>
      </c>
      <c r="C11" s="66" t="inlineStr">
        <is>
          <t>Silla imperio bordó ×10</t>
        </is>
      </c>
      <c r="D11" s="67" t="n">
        <v>85000</v>
      </c>
      <c r="E11" s="55">
        <f>D11/TABLERO!$C$4</f>
        <v/>
      </c>
      <c r="F11" s="68" t="inlineStr">
        <is>
          <t>NO</t>
        </is>
      </c>
      <c r="G11" s="69">
        <f>IF(F11="SÍ",D11,0)</f>
        <v/>
      </c>
      <c r="H11" s="65" t="inlineStr"/>
    </row>
    <row r="12">
      <c r="A12" s="65" t="n">
        <v>6</v>
      </c>
      <c r="B12" s="65" t="inlineStr">
        <is>
          <t>oficina de producción</t>
        </is>
      </c>
      <c r="C12" s="66" t="inlineStr">
        <is>
          <t>Sillón Valencia 2C ×2</t>
        </is>
      </c>
      <c r="D12" s="67" t="n">
        <v>254000</v>
      </c>
      <c r="E12" s="55">
        <f>D12/TABLERO!$C$4</f>
        <v/>
      </c>
      <c r="F12" s="68" t="inlineStr">
        <is>
          <t>NO</t>
        </is>
      </c>
      <c r="G12" s="69">
        <f>IF(F12="SÍ",D12,0)</f>
        <v/>
      </c>
      <c r="H12" s="65" t="inlineStr"/>
    </row>
    <row r="13">
      <c r="A13" s="65" t="n">
        <v>7</v>
      </c>
      <c r="B13" s="65" t="inlineStr">
        <is>
          <t>oficina de producción</t>
        </is>
      </c>
      <c r="C13" s="66" t="inlineStr">
        <is>
          <t>Sillón BRNO ×2</t>
        </is>
      </c>
      <c r="D13" s="67" t="n">
        <v>160000</v>
      </c>
      <c r="E13" s="55">
        <f>D13/TABLERO!$C$4</f>
        <v/>
      </c>
      <c r="F13" s="68" t="inlineStr">
        <is>
          <t>NO</t>
        </is>
      </c>
      <c r="G13" s="69">
        <f>IF(F13="SÍ",D13,0)</f>
        <v/>
      </c>
      <c r="H13" s="65" t="inlineStr"/>
    </row>
    <row r="14">
      <c r="A14" s="65" t="n">
        <v>8</v>
      </c>
      <c r="B14" s="65" t="inlineStr">
        <is>
          <t>oficina de producción</t>
        </is>
      </c>
      <c r="C14" s="66" t="inlineStr">
        <is>
          <t>Mesa ratona ×1</t>
        </is>
      </c>
      <c r="D14" s="67" t="n">
        <v>118000</v>
      </c>
      <c r="E14" s="55">
        <f>D14/TABLERO!$C$4</f>
        <v/>
      </c>
      <c r="F14" s="68" t="inlineStr">
        <is>
          <t>NO</t>
        </is>
      </c>
      <c r="G14" s="69">
        <f>IF(F14="SÍ",D14,0)</f>
        <v/>
      </c>
      <c r="H14" s="65" t="inlineStr"/>
    </row>
    <row r="15">
      <c r="A15" s="65" t="n">
        <v>9</v>
      </c>
      <c r="B15" s="65" t="inlineStr">
        <is>
          <t>oficina de producción</t>
        </is>
      </c>
      <c r="C15" s="66" t="inlineStr">
        <is>
          <t>Perchero de pie ×1</t>
        </is>
      </c>
      <c r="D15" s="67" t="n">
        <v>40000</v>
      </c>
      <c r="E15" s="55">
        <f>D15/TABLERO!$C$4</f>
        <v/>
      </c>
      <c r="F15" s="68" t="inlineStr">
        <is>
          <t>NO</t>
        </is>
      </c>
      <c r="G15" s="69">
        <f>IF(F15="SÍ",D15,0)</f>
        <v/>
      </c>
      <c r="H15" s="65" t="inlineStr"/>
    </row>
    <row r="16">
      <c r="A16" s="65" t="n">
        <v>10</v>
      </c>
      <c r="B16" s="65" t="inlineStr">
        <is>
          <t>oficina de producción</t>
        </is>
      </c>
      <c r="C16" s="66" t="inlineStr">
        <is>
          <t>Tacho de basura grande ×1</t>
        </is>
      </c>
      <c r="D16" s="67" t="n">
        <v>56300</v>
      </c>
      <c r="E16" s="55">
        <f>D16/TABLERO!$C$4</f>
        <v/>
      </c>
      <c r="F16" s="68" t="inlineStr">
        <is>
          <t>NO</t>
        </is>
      </c>
      <c r="G16" s="69">
        <f>IF(F16="SÍ",D16,0)</f>
        <v/>
      </c>
      <c r="H16" s="65" t="inlineStr"/>
    </row>
    <row r="17">
      <c r="A17" s="63" t="inlineStr">
        <is>
          <t xml:space="preserve">  MOBILIARIO · sala de staff</t>
        </is>
      </c>
      <c r="B17" s="64" t="n"/>
      <c r="C17" s="64" t="n"/>
      <c r="D17" s="64" t="n"/>
      <c r="E17" s="64" t="n"/>
      <c r="F17" s="64" t="n"/>
      <c r="G17" s="64" t="n"/>
      <c r="H17" s="64" t="n"/>
    </row>
    <row r="18">
      <c r="A18" s="65" t="n">
        <v>11</v>
      </c>
      <c r="B18" s="65" t="inlineStr">
        <is>
          <t>sala de staff</t>
        </is>
      </c>
      <c r="C18" s="66" t="inlineStr">
        <is>
          <t>Mesa redonda 1,60 ×5</t>
        </is>
      </c>
      <c r="D18" s="67" t="n">
        <v>590000</v>
      </c>
      <c r="E18" s="55">
        <f>D18/TABLERO!$C$4</f>
        <v/>
      </c>
      <c r="F18" s="68" t="inlineStr">
        <is>
          <t>NO</t>
        </is>
      </c>
      <c r="G18" s="69">
        <f>IF(F18="SÍ",D18,0)</f>
        <v/>
      </c>
      <c r="H18" s="65" t="inlineStr"/>
    </row>
    <row r="19">
      <c r="A19" s="65" t="n">
        <v>12</v>
      </c>
      <c r="B19" s="65" t="inlineStr">
        <is>
          <t>sala de staff</t>
        </is>
      </c>
      <c r="C19" s="66" t="inlineStr">
        <is>
          <t>Silla imperio bordó ×40</t>
        </is>
      </c>
      <c r="D19" s="67" t="n">
        <v>340000</v>
      </c>
      <c r="E19" s="55">
        <f>D19/TABLERO!$C$4</f>
        <v/>
      </c>
      <c r="F19" s="68" t="inlineStr">
        <is>
          <t>NO</t>
        </is>
      </c>
      <c r="G19" s="69">
        <f>IF(F19="SÍ",D19,0)</f>
        <v/>
      </c>
      <c r="H19" s="65" t="inlineStr"/>
    </row>
    <row r="20">
      <c r="A20" s="65" t="n">
        <v>13</v>
      </c>
      <c r="B20" s="65" t="inlineStr">
        <is>
          <t>sala de staff</t>
        </is>
      </c>
      <c r="C20" s="66" t="inlineStr">
        <is>
          <t>Perchero de pie ×1</t>
        </is>
      </c>
      <c r="D20" s="67" t="n">
        <v>40000</v>
      </c>
      <c r="E20" s="55">
        <f>D20/TABLERO!$C$4</f>
        <v/>
      </c>
      <c r="F20" s="68" t="inlineStr">
        <is>
          <t>NO</t>
        </is>
      </c>
      <c r="G20" s="69">
        <f>IF(F20="SÍ",D20,0)</f>
        <v/>
      </c>
      <c r="H20" s="65" t="inlineStr"/>
    </row>
    <row r="21">
      <c r="A21" s="65" t="n">
        <v>14</v>
      </c>
      <c r="B21" s="65" t="inlineStr">
        <is>
          <t>sala de staff</t>
        </is>
      </c>
      <c r="C21" s="66" t="inlineStr">
        <is>
          <t>Tacho de basura grande ×1</t>
        </is>
      </c>
      <c r="D21" s="67" t="n">
        <v>56300</v>
      </c>
      <c r="E21" s="55">
        <f>D21/TABLERO!$C$4</f>
        <v/>
      </c>
      <c r="F21" s="68" t="inlineStr">
        <is>
          <t>NO</t>
        </is>
      </c>
      <c r="G21" s="69">
        <f>IF(F21="SÍ",D21,0)</f>
        <v/>
      </c>
      <c r="H21" s="65" t="inlineStr"/>
    </row>
    <row r="22">
      <c r="A22" s="63" t="inlineStr">
        <is>
          <t xml:space="preserve">  MOBILIARIO · sala principal</t>
        </is>
      </c>
      <c r="B22" s="64" t="n"/>
      <c r="C22" s="64" t="n"/>
      <c r="D22" s="64" t="n"/>
      <c r="E22" s="64" t="n"/>
      <c r="F22" s="64" t="n"/>
      <c r="G22" s="64" t="n"/>
      <c r="H22" s="64" t="n"/>
    </row>
    <row r="23">
      <c r="A23" s="65" t="n">
        <v>15</v>
      </c>
      <c r="B23" s="65" t="inlineStr">
        <is>
          <t>sala principal</t>
        </is>
      </c>
      <c r="C23" s="66" t="inlineStr">
        <is>
          <t>Silla imperio bordó ×5.000</t>
        </is>
      </c>
      <c r="D23" s="67" t="n">
        <v>42500000</v>
      </c>
      <c r="E23" s="55">
        <f>D23/TABLERO!$C$4</f>
        <v/>
      </c>
      <c r="F23" s="68" t="inlineStr">
        <is>
          <t>NO</t>
        </is>
      </c>
      <c r="G23" s="69">
        <f>IF(F23="SÍ",D23,0)</f>
        <v/>
      </c>
      <c r="H23" s="65" t="inlineStr">
        <is>
          <t>Reemplazadas por las 5.500 sillas de FDL Eventos.</t>
        </is>
      </c>
    </row>
    <row r="24">
      <c r="A24" s="65" t="n">
        <v>16</v>
      </c>
      <c r="B24" s="65" t="inlineStr">
        <is>
          <t>sala principal</t>
        </is>
      </c>
      <c r="C24" s="66" t="inlineStr">
        <is>
          <t>Mesa 1,80 × 0,90 ×40</t>
        </is>
      </c>
      <c r="D24" s="67" t="n">
        <v>2500000</v>
      </c>
      <c r="E24" s="55">
        <f>D24/TABLERO!$C$4</f>
        <v/>
      </c>
      <c r="F24" s="68" t="inlineStr">
        <is>
          <t>NO</t>
        </is>
      </c>
      <c r="G24" s="69">
        <f>IF(F24="SÍ",D24,0)</f>
        <v/>
      </c>
      <c r="H24" s="65" t="inlineStr"/>
    </row>
    <row r="25">
      <c r="A25" s="65" t="n">
        <v>17</v>
      </c>
      <c r="B25" s="65" t="inlineStr">
        <is>
          <t>sala principal</t>
        </is>
      </c>
      <c r="C25" s="66" t="inlineStr">
        <is>
          <t>Mantel ×40</t>
        </is>
      </c>
      <c r="D25" s="67" t="n">
        <v>900000</v>
      </c>
      <c r="E25" s="55">
        <f>D25/TABLERO!$C$4</f>
        <v/>
      </c>
      <c r="F25" s="68" t="inlineStr">
        <is>
          <t>NO</t>
        </is>
      </c>
      <c r="G25" s="69">
        <f>IF(F25="SÍ",D25,0)</f>
        <v/>
      </c>
      <c r="H25" s="65" t="inlineStr"/>
    </row>
    <row r="26">
      <c r="A26" s="65" t="n">
        <v>18</v>
      </c>
      <c r="B26" s="65" t="inlineStr">
        <is>
          <t>sala principal</t>
        </is>
      </c>
      <c r="C26" s="66" t="inlineStr">
        <is>
          <t>Mantel redondo ×8</t>
        </is>
      </c>
      <c r="D26" s="67" t="n">
        <v>256000</v>
      </c>
      <c r="E26" s="55">
        <f>D26/TABLERO!$C$4</f>
        <v/>
      </c>
      <c r="F26" s="68" t="inlineStr">
        <is>
          <t>NO</t>
        </is>
      </c>
      <c r="G26" s="69">
        <f>IF(F26="SÍ",D26,0)</f>
        <v/>
      </c>
      <c r="H26" s="65" t="inlineStr"/>
    </row>
    <row r="27">
      <c r="A27" s="63" t="inlineStr">
        <is>
          <t xml:space="preserve">  MOBILIARIO · camarín de speakers</t>
        </is>
      </c>
      <c r="B27" s="64" t="n"/>
      <c r="C27" s="64" t="n"/>
      <c r="D27" s="64" t="n"/>
      <c r="E27" s="64" t="n"/>
      <c r="F27" s="64" t="n"/>
      <c r="G27" s="64" t="n"/>
      <c r="H27" s="64" t="n"/>
    </row>
    <row r="28">
      <c r="A28" s="65" t="n">
        <v>19</v>
      </c>
      <c r="B28" s="65" t="inlineStr">
        <is>
          <t>camarín de speakers</t>
        </is>
      </c>
      <c r="C28" s="66" t="inlineStr">
        <is>
          <t>Mesa redonda 1,60 ×1</t>
        </is>
      </c>
      <c r="D28" s="67" t="n">
        <v>118000</v>
      </c>
      <c r="E28" s="55">
        <f>D28/TABLERO!$C$4</f>
        <v/>
      </c>
      <c r="F28" s="68" t="inlineStr">
        <is>
          <t>NO</t>
        </is>
      </c>
      <c r="G28" s="69">
        <f>IF(F28="SÍ",D28,0)</f>
        <v/>
      </c>
      <c r="H28" s="65" t="inlineStr"/>
    </row>
    <row r="29">
      <c r="A29" s="65" t="n">
        <v>20</v>
      </c>
      <c r="B29" s="65" t="inlineStr">
        <is>
          <t>camarín de speakers</t>
        </is>
      </c>
      <c r="C29" s="66" t="inlineStr">
        <is>
          <t>Espejo ×1</t>
        </is>
      </c>
      <c r="D29" s="67" t="n">
        <v>79500</v>
      </c>
      <c r="E29" s="55">
        <f>D29/TABLERO!$C$4</f>
        <v/>
      </c>
      <c r="F29" s="68" t="inlineStr">
        <is>
          <t>NO</t>
        </is>
      </c>
      <c r="G29" s="69">
        <f>IF(F29="SÍ",D29,0)</f>
        <v/>
      </c>
      <c r="H29" s="65" t="inlineStr"/>
    </row>
    <row r="30">
      <c r="A30" s="65" t="n">
        <v>21</v>
      </c>
      <c r="B30" s="65" t="inlineStr">
        <is>
          <t>camarín de speakers</t>
        </is>
      </c>
      <c r="C30" s="66" t="inlineStr">
        <is>
          <t>Juego de living (sillones + mesa ratona)</t>
        </is>
      </c>
      <c r="D30" s="67" t="n">
        <v>1103642</v>
      </c>
      <c r="E30" s="55">
        <f>D30/TABLERO!$C$4</f>
        <v/>
      </c>
      <c r="F30" s="68" t="inlineStr">
        <is>
          <t>NO</t>
        </is>
      </c>
      <c r="G30" s="69">
        <f>IF(F30="SÍ",D30,0)</f>
        <v/>
      </c>
      <c r="H30" s="65" t="inlineStr">
        <is>
          <t>El mobiliario "más fino" del camarín: candidato a contratárselo a La Rural.</t>
        </is>
      </c>
    </row>
    <row r="31">
      <c r="A31" s="65" t="n">
        <v>22</v>
      </c>
      <c r="B31" s="65" t="inlineStr">
        <is>
          <t>camarín de speakers</t>
        </is>
      </c>
      <c r="C31" s="66" t="inlineStr">
        <is>
          <t>Perchero de pie ×1</t>
        </is>
      </c>
      <c r="D31" s="67" t="n">
        <v>40000</v>
      </c>
      <c r="E31" s="55">
        <f>D31/TABLERO!$C$4</f>
        <v/>
      </c>
      <c r="F31" s="68" t="inlineStr">
        <is>
          <t>NO</t>
        </is>
      </c>
      <c r="G31" s="69">
        <f>IF(F31="SÍ",D31,0)</f>
        <v/>
      </c>
      <c r="H31" s="65" t="inlineStr"/>
    </row>
    <row r="32">
      <c r="A32" s="65" t="n">
        <v>23</v>
      </c>
      <c r="B32" s="65" t="inlineStr">
        <is>
          <t>camarín de speakers</t>
        </is>
      </c>
      <c r="C32" s="66" t="inlineStr">
        <is>
          <t>Tacho de basura grande ×1</t>
        </is>
      </c>
      <c r="D32" s="67" t="n">
        <v>56300</v>
      </c>
      <c r="E32" s="55">
        <f>D32/TABLERO!$C$4</f>
        <v/>
      </c>
      <c r="F32" s="68" t="inlineStr">
        <is>
          <t>NO</t>
        </is>
      </c>
      <c r="G32" s="69">
        <f>IF(F32="SÍ",D32,0)</f>
        <v/>
      </c>
      <c r="H32" s="65" t="inlineStr"/>
    </row>
    <row r="33">
      <c r="A33" s="63" t="inlineStr">
        <is>
          <t xml:space="preserve">  MOBILIARIO · escenario y técnica</t>
        </is>
      </c>
      <c r="B33" s="64" t="n"/>
      <c r="C33" s="64" t="n"/>
      <c r="D33" s="64" t="n"/>
      <c r="E33" s="64" t="n"/>
      <c r="F33" s="64" t="n"/>
      <c r="G33" s="64" t="n"/>
      <c r="H33" s="64" t="n"/>
    </row>
    <row r="34">
      <c r="A34" s="65" t="n">
        <v>24</v>
      </c>
      <c r="B34" s="65" t="inlineStr">
        <is>
          <t>escenario y técnica</t>
        </is>
      </c>
      <c r="C34" s="66" t="inlineStr">
        <is>
          <t>Mesa cocktail alta (escenario) ×1</t>
        </is>
      </c>
      <c r="D34" s="67" t="n">
        <v>45000</v>
      </c>
      <c r="E34" s="55">
        <f>D34/TABLERO!$C$4</f>
        <v/>
      </c>
      <c r="F34" s="68" t="inlineStr">
        <is>
          <t>NO</t>
        </is>
      </c>
      <c r="G34" s="69">
        <f>IF(F34="SÍ",D34,0)</f>
        <v/>
      </c>
      <c r="H34" s="65" t="inlineStr"/>
    </row>
    <row r="35">
      <c r="A35" s="65" t="n">
        <v>25</v>
      </c>
      <c r="B35" s="65" t="inlineStr">
        <is>
          <t>escenario y técnica</t>
        </is>
      </c>
      <c r="C35" s="66" t="inlineStr">
        <is>
          <t>Mesa alta para DJ ×1</t>
        </is>
      </c>
      <c r="D35" s="67" t="n">
        <v>62300</v>
      </c>
      <c r="E35" s="55">
        <f>D35/TABLERO!$C$4</f>
        <v/>
      </c>
      <c r="F35" s="68" t="inlineStr">
        <is>
          <t>NO</t>
        </is>
      </c>
      <c r="G35" s="69">
        <f>IF(F35="SÍ",D35,0)</f>
        <v/>
      </c>
      <c r="H35" s="65" t="inlineStr"/>
    </row>
    <row r="36">
      <c r="A36" s="63" t="inlineStr">
        <is>
          <t xml:space="preserve">  GENERALES</t>
        </is>
      </c>
      <c r="B36" s="64" t="n"/>
      <c r="C36" s="64" t="n"/>
      <c r="D36" s="64" t="n"/>
      <c r="E36" s="64" t="n"/>
      <c r="F36" s="64" t="n"/>
      <c r="G36" s="64" t="n"/>
      <c r="H36" s="64" t="n"/>
    </row>
    <row r="37">
      <c r="A37" s="65" t="n">
        <v>26</v>
      </c>
      <c r="B37" s="65" t="inlineStr">
        <is>
          <t>GENERALES</t>
        </is>
      </c>
      <c r="C37" s="66" t="inlineStr">
        <is>
          <t>Dirección técnica de todo el evento + replanteo</t>
        </is>
      </c>
      <c r="D37" s="67" t="n">
        <v>5149179.2</v>
      </c>
      <c r="E37" s="55">
        <f>D37/TABLERO!$C$4</f>
        <v/>
      </c>
      <c r="F37" s="68" t="inlineStr">
        <is>
          <t>SÍ</t>
        </is>
      </c>
      <c r="G37" s="69">
        <f>IF(F37="SÍ",D37,0)</f>
        <v/>
      </c>
      <c r="H37" s="65" t="inlineStr">
        <is>
          <t>Ojo: el replanteo de sillas va aparte, con ingeniero propio.</t>
        </is>
      </c>
    </row>
    <row r="38">
      <c r="A38" s="65" t="n">
        <v>27</v>
      </c>
      <c r="B38" s="65" t="inlineStr">
        <is>
          <t>GENERALES</t>
        </is>
      </c>
      <c r="C38" s="66" t="inlineStr">
        <is>
          <t>Guardia eléctrica × 2 días</t>
        </is>
      </c>
      <c r="D38" s="67" t="n">
        <v>865800</v>
      </c>
      <c r="E38" s="55">
        <f>D38/TABLERO!$C$4</f>
        <v/>
      </c>
      <c r="F38" s="68" t="inlineStr">
        <is>
          <t>SÍ</t>
        </is>
      </c>
      <c r="G38" s="69">
        <f>IF(F38="SÍ",D38,0)</f>
        <v/>
      </c>
      <c r="H38" s="65" t="inlineStr"/>
    </row>
    <row r="39">
      <c r="A39" s="65" t="n">
        <v>28</v>
      </c>
      <c r="B39" s="65" t="inlineStr">
        <is>
          <t>GENERALES</t>
        </is>
      </c>
      <c r="C39" s="66" t="inlineStr">
        <is>
          <t>Guardia técnica × 2 días</t>
        </is>
      </c>
      <c r="D39" s="67" t="n">
        <v>905200</v>
      </c>
      <c r="E39" s="55">
        <f>D39/TABLERO!$C$4</f>
        <v/>
      </c>
      <c r="F39" s="68" t="inlineStr">
        <is>
          <t>SÍ</t>
        </is>
      </c>
      <c r="G39" s="69">
        <f>IF(F39="SÍ",D39,0)</f>
        <v/>
      </c>
      <c r="H39" s="65" t="inlineStr"/>
    </row>
    <row r="41">
      <c r="C41" s="3" t="inlineStr">
        <is>
          <t>TOTAL del presupuesto de La Rural</t>
        </is>
      </c>
      <c r="D41" s="70">
        <f>SUM(D6:D39)</f>
        <v/>
      </c>
      <c r="E41" s="36">
        <f>D41/TABLERO!$C$4</f>
        <v/>
      </c>
    </row>
    <row r="42">
      <c r="C42" s="3" t="inlineStr">
        <is>
          <t>Lo que se queda (marcado SÍ)</t>
        </is>
      </c>
      <c r="D42" s="71">
        <f>SUM(G6:G39)</f>
        <v/>
      </c>
      <c r="E42" s="72">
        <f>D42/TABLERO!$C$4</f>
        <v/>
      </c>
    </row>
    <row r="43">
      <c r="C43" s="3" t="inlineStr">
        <is>
          <t>Lo que se saca (marcado NO)</t>
        </is>
      </c>
      <c r="D43" s="73">
        <f>D41-D42</f>
        <v/>
      </c>
      <c r="E43" s="74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2026-09-02T18:49:31Z</dcterms:created>
  <dcterms:modified xsi:type="dcterms:W3CDTF">2026-09-02T18:49:31Z</dcterms:modified>
</cp:coreProperties>
</file>