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COSTOS UNIFICADOS" sheetId="2" state="visible" r:id="rId2"/>
    <sheet name="TABLERO" sheetId="3" state="visible" r:id="rId3"/>
    <sheet name="MERCH" sheetId="4" state="visible" r:id="rId4"/>
    <sheet name="PAGOS" sheetId="5" state="visible" r:id="rId5"/>
    <sheet name="DECISIONES" sheetId="6" state="visible" r:id="rId6"/>
    <sheet name="AHORROS" sheetId="7" state="visible" r:id="rId7"/>
    <sheet name="COTIZACIONES TÉCNICA" sheetId="8" state="visible" r:id="rId8"/>
    <sheet name="INFRAESTRUCTURA" sheetId="9" state="visible" r:id="rId9"/>
  </sheets>
  <definedNames>
    <definedName name="_xlnm._FilterDatabase" localSheetId="1" hidden="1">'COSTOS UNIFICADOS'!$A$4:$M$4</definedName>
    <definedName name="_xlnm._FilterDatabase" localSheetId="3" hidden="1">'MERCH'!$A$4:$O$4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US$&quot;#,##0.00;(&quot;US$&quot;#,##0.00);-"/>
    <numFmt numFmtId="165" formatCode="0.0%"/>
    <numFmt numFmtId="166" formatCode="&quot;$&quot;#,##0;(&quot;$&quot;#,##0);-"/>
    <numFmt numFmtId="167" formatCode="&quot;US$&quot;#,##0;(&quot;US$&quot;#,##0);-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sz val="12"/>
    </font>
    <font>
      <name val="Arial"/>
      <b val="1"/>
      <color rgb="001F3864"/>
      <sz val="12"/>
    </font>
    <font>
      <name val="Arial"/>
      <color rgb="00008000"/>
      <sz val="10"/>
    </font>
    <font>
      <name val="Arial"/>
      <b val="1"/>
      <sz val="11"/>
    </font>
    <font>
      <name val="Arial"/>
      <b val="1"/>
      <color rgb="001F3864"/>
      <sz val="11"/>
    </font>
    <font>
      <name val="Arial"/>
      <b val="1"/>
      <color rgb="001F3864"/>
      <sz val="9"/>
    </font>
    <font>
      <name val="Arial"/>
      <b val="1"/>
      <color rgb="00C00000"/>
      <sz val="11"/>
    </font>
    <font>
      <name val="Arial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vertical="center" indent="1"/>
    </xf>
    <xf numFmtId="0" fontId="0" fillId="2" borderId="0" pivotButton="0" quotePrefix="0" xfId="0"/>
    <xf numFmtId="0" fontId="3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7" fillId="3" borderId="1" applyAlignment="1" pivotButton="0" quotePrefix="0" xfId="0">
      <alignment vertical="top" wrapText="1"/>
    </xf>
    <xf numFmtId="165" fontId="7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pivotButton="0" quotePrefix="0" xfId="0"/>
    <xf numFmtId="0" fontId="0" fillId="4" borderId="1" pivotButton="0" quotePrefix="0" xfId="0"/>
    <xf numFmtId="164" fontId="3" fillId="4" borderId="1" pivotButton="0" quotePrefix="0" xfId="0"/>
    <xf numFmtId="0" fontId="3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6" fontId="7" fillId="5" borderId="1" applyAlignment="1" pivotButton="0" quotePrefix="0" xfId="0">
      <alignment vertical="top" wrapText="1"/>
    </xf>
    <xf numFmtId="165" fontId="7" fillId="5" borderId="1" applyAlignment="1" pivotButton="0" quotePrefix="0" xfId="0">
      <alignment vertical="top" wrapText="1"/>
    </xf>
    <xf numFmtId="166" fontId="4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164" fontId="7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6" fontId="7" fillId="3" borderId="1" applyAlignment="1" pivotButton="0" quotePrefix="0" xfId="0">
      <alignment vertical="top" wrapText="1"/>
    </xf>
    <xf numFmtId="166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7" fillId="4" borderId="1" applyAlignment="1" pivotButton="0" quotePrefix="0" xfId="0">
      <alignment vertical="top" wrapText="1"/>
    </xf>
    <xf numFmtId="165" fontId="7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6" fontId="7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 wrapText="1"/>
    </xf>
    <xf numFmtId="0" fontId="8" fillId="0" borderId="0" pivotButton="0" quotePrefix="0" xfId="0"/>
    <xf numFmtId="167" fontId="8" fillId="3" borderId="1" pivotButton="0" quotePrefix="0" xfId="0"/>
    <xf numFmtId="4" fontId="7" fillId="6" borderId="0" pivotButton="0" quotePrefix="0" xfId="0"/>
    <xf numFmtId="0" fontId="9" fillId="0" borderId="0" pivotButton="0" quotePrefix="0" xfId="0"/>
    <xf numFmtId="167" fontId="10" fillId="0" borderId="1" pivotButton="0" quotePrefix="0" xfId="0"/>
    <xf numFmtId="167" fontId="10" fillId="7" borderId="1" pivotButton="0" quotePrefix="0" xfId="0"/>
    <xf numFmtId="0" fontId="5" fillId="2" borderId="1" pivotButton="0" quotePrefix="0" xfId="0"/>
    <xf numFmtId="0" fontId="4" fillId="0" borderId="1" pivotButton="0" quotePrefix="0" xfId="0"/>
    <xf numFmtId="3" fontId="7" fillId="6" borderId="1" pivotButton="0" quotePrefix="0" xfId="0"/>
    <xf numFmtId="164" fontId="4" fillId="0" borderId="1" pivotButton="0" quotePrefix="0" xfId="0"/>
    <xf numFmtId="167" fontId="10" fillId="3" borderId="1" pivotButton="0" quotePrefix="0" xfId="0"/>
    <xf numFmtId="167" fontId="10" fillId="5" borderId="1" pivotButton="0" quotePrefix="0" xfId="0"/>
    <xf numFmtId="167" fontId="2" fillId="0" borderId="0" pivotButton="0" quotePrefix="0" xfId="0"/>
    <xf numFmtId="164" fontId="3" fillId="5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166" fontId="7" fillId="7" borderId="1" applyAlignment="1" pivotButton="0" quotePrefix="0" xfId="0">
      <alignment vertical="top" wrapText="1"/>
    </xf>
    <xf numFmtId="165" fontId="7" fillId="7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 wrapText="1"/>
    </xf>
    <xf numFmtId="164" fontId="7" fillId="7" borderId="1" applyAlignment="1" pivotButton="0" quotePrefix="0" xfId="0">
      <alignment vertical="top" wrapText="1"/>
    </xf>
    <xf numFmtId="164" fontId="3" fillId="7" borderId="1" applyAlignment="1" pivotButton="0" quotePrefix="0" xfId="0">
      <alignment vertical="top" wrapText="1"/>
    </xf>
    <xf numFmtId="164" fontId="4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0" fontId="11" fillId="0" borderId="0" pivotButton="0" quotePrefix="0" xfId="0"/>
    <xf numFmtId="164" fontId="11" fillId="3" borderId="1" pivotButton="0" quotePrefix="0" xfId="0"/>
    <xf numFmtId="0" fontId="12" fillId="0" borderId="0" pivotButton="0" quotePrefix="0" xfId="0"/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4" borderId="1" pivotButton="0" quotePrefix="0" xfId="0"/>
    <xf numFmtId="0" fontId="13" fillId="8" borderId="0" pivotButton="0" quotePrefix="0" xfId="0"/>
    <xf numFmtId="0" fontId="0" fillId="8" borderId="0" pivotButton="0" quotePrefix="0" xfId="0"/>
    <xf numFmtId="0" fontId="3" fillId="0" borderId="1" pivotButton="0" quotePrefix="0" xfId="0"/>
    <xf numFmtId="164" fontId="7" fillId="0" borderId="1" pivotButton="0" quotePrefix="0" xfId="0"/>
    <xf numFmtId="164" fontId="3" fillId="3" borderId="1" pivotButton="0" quotePrefix="0" xfId="0"/>
    <xf numFmtId="165" fontId="4" fillId="0" borderId="1" pivotButton="0" quotePrefix="0" xfId="0"/>
    <xf numFmtId="0" fontId="2" fillId="4" borderId="1" pivotButton="0" quotePrefix="0" xfId="0"/>
    <xf numFmtId="164" fontId="7" fillId="4" borderId="1" pivotButton="0" quotePrefix="0" xfId="0"/>
    <xf numFmtId="0" fontId="0" fillId="0" borderId="1" pivotButton="0" quotePrefix="0" xfId="0"/>
    <xf numFmtId="165" fontId="3" fillId="4" borderId="1" pivotButton="0" quotePrefix="0" xfId="0"/>
    <xf numFmtId="165" fontId="11" fillId="3" borderId="1" pivotButton="0" quotePrefix="0" xfId="0"/>
    <xf numFmtId="0" fontId="14" fillId="0" borderId="0" pivotButton="0" quotePrefix="0" xfId="0"/>
    <xf numFmtId="0" fontId="2" fillId="3" borderId="1" pivotButton="0" quotePrefix="0" xfId="0"/>
    <xf numFmtId="0" fontId="7" fillId="3" borderId="1" pivotButton="0" quotePrefix="0" xfId="0"/>
    <xf numFmtId="0" fontId="2" fillId="7" borderId="1" pivotButton="0" quotePrefix="0" xfId="0"/>
    <xf numFmtId="0" fontId="7" fillId="7" borderId="1" pivotButton="0" quotePrefix="0" xfId="0"/>
    <xf numFmtId="164" fontId="3" fillId="7" borderId="1" pivotButton="0" quotePrefix="0" xfId="0"/>
    <xf numFmtId="0" fontId="3" fillId="7" borderId="1" pivotButton="0" quotePrefix="0" xfId="0"/>
    <xf numFmtId="0" fontId="2" fillId="0" borderId="1" pivotButton="0" quotePrefix="0" xfId="0"/>
    <xf numFmtId="0" fontId="7" fillId="0" borderId="1" pivotButton="0" quotePrefix="0" xfId="0"/>
    <xf numFmtId="164" fontId="3" fillId="0" borderId="1" pivotButton="0" quotePrefix="0" xfId="0"/>
    <xf numFmtId="167" fontId="3" fillId="4" borderId="1" pivotButton="0" quotePrefix="0" xfId="0"/>
    <xf numFmtId="167" fontId="3" fillId="3" borderId="1" pivotButton="0" quotePrefix="0" xfId="0"/>
    <xf numFmtId="167" fontId="3" fillId="5" borderId="1" pivotButton="0" quotePrefix="0" xfId="0"/>
    <xf numFmtId="167" fontId="3" fillId="0" borderId="1" pivotButton="0" quotePrefix="0" xfId="0"/>
    <xf numFmtId="165" fontId="4" fillId="0" borderId="1" applyAlignment="1" pivotButton="0" quotePrefix="0" xfId="0">
      <alignment vertical="top" wrapText="1"/>
    </xf>
    <xf numFmtId="164" fontId="8" fillId="3" borderId="1" pivotButton="0" quotePrefix="0" xfId="0"/>
    <xf numFmtId="167" fontId="4" fillId="5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167" fontId="4" fillId="4" borderId="1" applyAlignment="1" pivotButton="0" quotePrefix="0" xfId="0">
      <alignment vertical="top" wrapText="1"/>
    </xf>
    <xf numFmtId="167" fontId="4" fillId="3" borderId="1" applyAlignment="1" pivotButton="0" quotePrefix="0" xfId="0">
      <alignment vertical="top" wrapText="1"/>
    </xf>
    <xf numFmtId="0" fontId="15" fillId="0" borderId="0" pivotButton="0" quotePrefix="0" xfId="0"/>
    <xf numFmtId="166" fontId="7" fillId="0" borderId="1" pivotButton="0" quotePrefix="0" xfId="0"/>
    <xf numFmtId="0" fontId="7" fillId="6" borderId="1" pivotButton="0" quotePrefix="0" xfId="0"/>
    <xf numFmtId="166" fontId="4" fillId="0" borderId="1" pivotButton="0" quotePrefix="0" xfId="0"/>
    <xf numFmtId="166" fontId="3" fillId="4" borderId="1" pivotButton="0" quotePrefix="0" xfId="0"/>
    <xf numFmtId="166" fontId="3" fillId="3" borderId="1" pivotButton="0" quotePrefix="0" xfId="0"/>
    <xf numFmtId="166" fontId="3" fillId="5" borderId="1" pivotButton="0" quotePrefix="0" xfId="0"/>
    <xf numFmtId="164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1" t="inlineStr">
        <is>
          <t>Costo total del evento de Argentina · CMC 2026</t>
        </is>
      </c>
    </row>
    <row r="2">
      <c r="A2" s="2" t="inlineStr">
        <is>
          <t>La Rural, Pabellón Azul — montaje 2 de octubre, evento 3 y 4 de octubre de 2026.</t>
        </is>
      </c>
    </row>
    <row r="4" ht="30" customHeight="1">
      <c r="A4" s="3" t="inlineStr">
        <is>
          <t>Qué es esto</t>
        </is>
      </c>
      <c r="B4" s="4" t="inlineStr">
        <is>
          <t>Unifica los presupuestos que llegaron por mail (jun-ago 2026) con la hoja "Argentina (3 oct-4 oct)" del master de inversión, para poder decir cuánto sale el evento de verdad y cuánto por persona.</t>
        </is>
      </c>
    </row>
    <row r="5" ht="30" customHeight="1">
      <c r="A5" s="3" t="inlineStr">
        <is>
          <t>Fecha de corte</t>
        </is>
      </c>
      <c r="B5" s="4" t="inlineStr">
        <is>
          <t>Todo calculado al 02/09/2026.</t>
        </is>
      </c>
    </row>
    <row r="6" ht="30" customHeight="1">
      <c r="A6" s="3" t="inlineStr">
        <is>
          <t>Tipo de cambio</t>
        </is>
      </c>
      <c r="B6" s="4" t="inlineStr">
        <is>
          <t>Celda TABLERO!C4, editable. $1.510, que es el dólar con el que viene trabajando Agustina. Se verificó contra dos de sus cifras: el montaje de $900.000 le da US$596 y el entelado de $24.500.000 le da US$16.225. Todas las conversiones de pesos a dólares salen de esa única celda.</t>
        </is>
      </c>
    </row>
    <row r="7" ht="8" customHeight="1">
      <c r="A7" s="5" t="inlineStr"/>
      <c r="B7" s="4" t="inlineStr"/>
    </row>
    <row r="8" ht="30" customHeight="1">
      <c r="A8" s="3" t="inlineStr">
        <is>
          <t>Cómo leer los estados</t>
        </is>
      </c>
      <c r="B8" s="4" t="inlineStr">
        <is>
          <t>Contratado = hay contrato o anticipo pagado. Cotizado = hay presupuesto formal por mail. Alternativa = segunda opción para el mismo ítem, NO suma al total. Otro país = es un gasto de otro evento de la gira, entra en cero. Reemplazado = estimado viejo que ya está cubierto por facturas reales, entra en cero. Sin cotizar = sólo hay un estimado del sheet, o ni eso.</t>
        </is>
      </c>
    </row>
    <row r="9" ht="30" customHeight="1">
      <c r="A9" s="3" t="inlineStr">
        <is>
          <t>Columna "% Argentina"</t>
        </is>
      </c>
      <c r="B9" s="4" t="inlineStr">
        <is>
          <t>Es la parte de cada compra que se le imputa a este evento. Vale 100% en casi todo. Los pañuelos son una compra compartida con Uruguay y van al 65% (5.500 de 8.500 unidades); la gráfica de Uruguay va al 0%.</t>
        </is>
      </c>
    </row>
    <row r="10" ht="30" customHeight="1">
      <c r="A10" s="3" t="inlineStr">
        <is>
          <t>Regla del total</t>
        </is>
      </c>
      <c r="B10" s="4" t="inlineStr">
        <is>
          <t>El total suma los ítems Contratado + Cotizado + Sin cotizar. Los marcados "Alternativa" quedan fuera para no duplicar (las sillas de La Rural vs las de FDL, y las LED de VMG contra la técnica integral de Prina).</t>
        </is>
      </c>
    </row>
    <row r="11" ht="30" customHeight="1">
      <c r="A11" s="3" t="inlineStr">
        <is>
          <t>IVA</t>
        </is>
      </c>
      <c r="B11" s="4" t="inlineStr">
        <is>
          <t>Las cotizaciones argentinas casi todas vienen sin IVA. La columna IVA aplica la alícuota de cada una (21% general, 10,5% el servicio médico) para llegar al costo real.</t>
        </is>
      </c>
    </row>
    <row r="12" ht="8" customHeight="1">
      <c r="A12" s="5" t="inlineStr"/>
      <c r="B12" s="4" t="inlineStr"/>
    </row>
    <row r="13" ht="30" customHeight="1">
      <c r="A13" s="3" t="inlineStr">
        <is>
          <t>Advertencia 1 — vencimientos</t>
        </is>
      </c>
      <c r="B13" s="4" t="inlineStr">
        <is>
          <t>La cotización de Prina (técnica, el ítem más caro en pesos) tenía validez de 10 días y venció en junio. VMG se reserva recotizar si el dólar salta más de 15%. La Rural ajusta el saldo por IPC. Los pesos de este libro son de la fecha de cada cotización, no de hoy.</t>
        </is>
      </c>
    </row>
    <row r="14" ht="30" customHeight="1">
      <c r="A14" s="3" t="inlineStr">
        <is>
          <t>Advertencia 2 — huecos</t>
        </is>
      </c>
      <c r="B14" s="4" t="inlineStr">
        <is>
          <t>Vuelos y alojamiento del equipo entran en cero: no hay cotización ni estimado. Tampoco están cotizados los ecobaños, la marquetería, el replanteo de sillas ni los cheques, escarapelas, diplomas, placas y manillas. El costo por persona es, por lo tanto, un piso.</t>
        </is>
      </c>
    </row>
    <row r="15" ht="8" customHeight="1">
      <c r="A15" s="5" t="inlineStr"/>
      <c r="B15" s="4" t="inlineStr"/>
    </row>
    <row r="16" ht="30" customHeight="1">
      <c r="A16" s="3" t="inlineStr">
        <is>
          <t>Merch</t>
        </is>
      </c>
      <c r="B16" s="4" t="inlineStr">
        <is>
          <t>Todo el merch sale de la carpeta de Drive "Presupuestos merch": nueve facturas reales (2601009 a 2601019) que reemplazan el renglón único de US$8.689 que traía el master. Los proveedores son argentinos (Remerasyestampados, Textil Ryu, Leotex, Derqui), no colombianos como decía la hoja PAGOS. Ver la hoja MERCH.</t>
        </is>
      </c>
    </row>
    <row r="17" ht="30" customHeight="1">
      <c r="A17" s="3" t="inlineStr">
        <is>
          <t>Merch — qué se pagó</t>
        </is>
      </c>
      <c r="B17" s="4" t="inlineStr">
        <is>
          <t>Las gorras están pagadas al 100%. Pañuelos, lanyards y gráfica de Argentina tienen el 50% abonado. Las remeras y el bordado de las gorras no tienen nada pagado: se debe el 100%.</t>
        </is>
      </c>
    </row>
    <row r="18" ht="30" customHeight="1">
      <c r="A18" s="3" t="inlineStr">
        <is>
          <t>Merch — dos ajustes</t>
        </is>
      </c>
      <c r="B18" s="4" t="inlineStr">
        <is>
          <t>Se sacaron dos duplicaciones: las cintas de Blocko eran el mismo ítem que los lanyards de Leotex ya contratados, y la gráfica de Uruguay (US$1.233) estaba cargada en el master con país = Argentina.</t>
        </is>
      </c>
    </row>
    <row r="19" ht="30" customHeight="1">
      <c r="A19" s="3" t="inlineStr">
        <is>
          <t>Advertencia 3 — facturación</t>
        </is>
      </c>
      <c r="B19" s="4" t="inlineStr">
        <is>
          <t>FDL Eventos (sillas) y Vittal (servicio médico) todavía no confirmaron si pueden facturar a la empresa de EE.UU. Si no pueden, hay que resolver el circuito de pago antes de cerrar.</t>
        </is>
      </c>
    </row>
    <row r="20" ht="8" customHeight="1">
      <c r="A20" s="5" t="inlineStr"/>
      <c r="B20" s="4" t="inlineStr"/>
    </row>
    <row r="21" ht="30" customHeight="1">
      <c r="A21" s="3" t="inlineStr">
        <is>
          <t>Fuentes de mail</t>
        </is>
      </c>
      <c r="B21" s="4" t="inlineStr">
        <is>
          <t>La Rural infraestructura (criccio@larural.com.ar, 17/08) · La Rural conectividad (16/06) · Prina (18/06) · VMG (29/06) · Road Seguridad (12/08) · Vittal (28/08) · Higia + Gale (22/06) · Chanes Seguros (13/07) · Blocko (09/06) · FDL Eventos (07/08) · AmbientHouse (16/06).</t>
        </is>
      </c>
    </row>
    <row r="22" ht="30" customHeight="1">
      <c r="A22" s="3" t="inlineStr">
        <is>
          <t>Fuente de planilla</t>
        </is>
      </c>
      <c r="B22" s="4" t="inlineStr">
        <is>
          <t>INVERSIÓN GIRA CUMBRE 2026.xlsx — hojas "Argentina (3 oct-4 oct)" y "PAGOS".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62" customWidth="1" min="3" max="3"/>
    <col width="13" customWidth="1" min="4" max="4"/>
    <col width="8" customWidth="1" min="5" max="5"/>
    <col width="15" customWidth="1" min="6" max="6"/>
    <col width="8" customWidth="1" min="7" max="7"/>
    <col width="17" customWidth="1" min="8" max="8"/>
    <col width="11" customWidth="1" min="9" max="9"/>
    <col width="14" customWidth="1" min="10" max="10"/>
    <col width="15" customWidth="1" min="11" max="11"/>
    <col width="14" customWidth="1" min="12" max="12"/>
    <col width="62" customWidth="1" min="13" max="13"/>
  </cols>
  <sheetData>
    <row r="1">
      <c r="A1" s="1" t="inlineStr">
        <is>
          <t>Todos los costos de Argentina, bloque por bloque</t>
        </is>
      </c>
    </row>
    <row r="2">
      <c r="A2" s="2" t="inlineStr">
        <is>
          <t>Una fila por concepto. "Monto a usar" toma la cotización real cuando existe y el estimado del sheet cuando no.</t>
        </is>
      </c>
    </row>
    <row r="4">
      <c r="A4" s="6" t="inlineStr">
        <is>
          <t>Rubro</t>
        </is>
      </c>
      <c r="B4" s="6" t="inlineStr">
        <is>
          <t>Proveedor</t>
        </is>
      </c>
      <c r="C4" s="6" t="inlineStr">
        <is>
          <t>Detalle</t>
        </is>
      </c>
      <c r="D4" s="6" t="inlineStr">
        <is>
          <t>Estado</t>
        </is>
      </c>
      <c r="E4" s="6" t="inlineStr">
        <is>
          <t>Moneda</t>
        </is>
      </c>
      <c r="F4" s="6" t="inlineStr">
        <is>
          <t>Monto sin IVA</t>
        </is>
      </c>
      <c r="G4" s="6" t="inlineStr">
        <is>
          <t>IVA</t>
        </is>
      </c>
      <c r="H4" s="6" t="inlineStr">
        <is>
          <t>Total moneda origen</t>
        </is>
      </c>
      <c r="I4" s="6" t="inlineStr">
        <is>
          <t>% Argentina</t>
        </is>
      </c>
      <c r="J4" s="6" t="inlineStr">
        <is>
          <t>Total USD</t>
        </is>
      </c>
      <c r="K4" s="6" t="inlineStr">
        <is>
          <t>Estimado del sheet
(USD)</t>
        </is>
      </c>
      <c r="L4" s="6" t="inlineStr">
        <is>
          <t>Diferencia</t>
        </is>
      </c>
      <c r="M4" s="6" t="inlineStr">
        <is>
          <t>Fuente</t>
        </is>
      </c>
    </row>
    <row r="5" ht="20" customHeight="1">
      <c r="A5" s="7" t="inlineStr">
        <is>
          <t>SEDE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 ht="42" customHeight="1">
      <c r="A6" s="9" t="inlineStr">
        <is>
          <t>Alquiler Pabellón Azul</t>
        </is>
      </c>
      <c r="B6" s="10" t="inlineStr">
        <is>
          <t>La Rural (contrato CC-00957)</t>
        </is>
      </c>
      <c r="C6" s="11" t="inlineStr">
        <is>
          <t>Locación 2 días de evento + 1 día de montaje</t>
        </is>
      </c>
      <c r="D6" s="9" t="inlineStr">
        <is>
          <t>Contratado</t>
        </is>
      </c>
      <c r="E6" s="10" t="inlineStr">
        <is>
          <t>USD</t>
        </is>
      </c>
      <c r="F6" s="12" t="n">
        <v>75000</v>
      </c>
      <c r="G6" s="13" t="n"/>
      <c r="H6" s="14">
        <f>IF(F6="","",F6*(1+N(G6)))</f>
        <v/>
      </c>
      <c r="I6" s="15" t="n">
        <v>1</v>
      </c>
      <c r="J6" s="14">
        <f>IF(OR(D6="Bonificado",D6="Reemplazado"),0,N(I6)*IF(H6="",N(K6),IF(E6="USD",H6,H6/TABLERO!$C$4)))</f>
        <v/>
      </c>
      <c r="K6" s="12" t="n">
        <v>70000</v>
      </c>
      <c r="L6" s="14">
        <f>IF(D6="Alternativa","",J6-N(K6))</f>
        <v/>
      </c>
      <c r="M6" s="16" t="inlineStr">
        <is>
          <t>Contrato CC-00957 · hoja PAGOS del master (US$43.446 abonados el 27/04)</t>
        </is>
      </c>
    </row>
    <row r="7">
      <c r="A7" s="17" t="inlineStr">
        <is>
          <t>Subtotal Sede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9">
        <f>SUMIF($D$6:$D$6,"&lt;&gt;Alternativa",$J$6:$J$6)</f>
        <v/>
      </c>
      <c r="K7" s="19">
        <f>SUM($K$6:$K$6)</f>
        <v/>
      </c>
      <c r="L7" s="19">
        <f>J7-K7</f>
        <v/>
      </c>
      <c r="M7" s="18" t="n"/>
    </row>
    <row r="8" ht="20" customHeight="1">
      <c r="A8" s="7" t="inlineStr">
        <is>
          <t>INFRAESTRUCTURA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 ht="42" customHeight="1">
      <c r="A9" s="9" t="inlineStr">
        <is>
          <t>Armado de stands</t>
        </is>
      </c>
      <c r="B9" s="10" t="inlineStr">
        <is>
          <t>La Rural — Jefatura de Infraestructura</t>
        </is>
      </c>
      <c r="C9" s="11" t="inlineStr">
        <is>
          <t>Armado del stand de staff (100 m²), el de producción (menos de 50 m²) y el mobiliario del camarín de speakers. Falta pedirles los espejos. Las sillas del público van en su propia línea.</t>
        </is>
      </c>
      <c r="D9" s="9" t="inlineStr">
        <is>
          <t>Cerrado</t>
        </is>
      </c>
      <c r="E9" s="10" t="inlineStr">
        <is>
          <t>USD</t>
        </is>
      </c>
      <c r="F9" s="12" t="n">
        <v>9270</v>
      </c>
      <c r="G9" s="13" t="n"/>
      <c r="H9" s="14">
        <f>IF(F9="","",F9*(1+N(G9)))</f>
        <v/>
      </c>
      <c r="I9" s="15" t="n">
        <v>1</v>
      </c>
      <c r="J9" s="14">
        <f>IF(OR(D9="Bonificado",D9="Reemplazado"),0,N(I9)*IF(H9="",N(K9),IF(E9="USD",H9,H9/TABLERO!$C$4)))</f>
        <v/>
      </c>
      <c r="K9" s="12" t="n"/>
      <c r="L9" s="14">
        <f>IF(D9="Alternativa","",J9-N(K9))</f>
        <v/>
      </c>
      <c r="M9" s="16" t="inlineStr">
        <is>
          <t>Definición de Agustina sobre el presupuesto de $66.494.708 del 17/08 · ver hoja AHORROS</t>
        </is>
      </c>
    </row>
    <row r="10">
      <c r="A10" s="17" t="inlineStr">
        <is>
          <t>Subtotal Infraestructura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9">
        <f>SUMIF($D$9:$D$9,"&lt;&gt;Alternativa",$J$9:$J$9)</f>
        <v/>
      </c>
      <c r="K10" s="19">
        <f>SUM($K$9:$K$9)</f>
        <v/>
      </c>
      <c r="L10" s="19">
        <f>J10-K10</f>
        <v/>
      </c>
      <c r="M10" s="18" t="n"/>
    </row>
    <row r="11" ht="20" customHeight="1">
      <c r="A11" s="7" t="inlineStr">
        <is>
          <t>MOBILIARIO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 ht="42" customHeight="1">
      <c r="A12" s="20" t="inlineStr">
        <is>
          <t>Sillas del público (5.500)</t>
        </is>
      </c>
      <c r="B12" s="21" t="inlineStr">
        <is>
          <t>FDL Eventos</t>
        </is>
      </c>
      <c r="C12" s="22" t="inlineStr">
        <is>
          <t>Presupuesto 026-2697, alquiler por 4 días: 1.000 sillas hotel caño gris tapizado negro ($7.000.000) + 4.500 sillas plásticas Munro reforzadas ($17.100.000) + flete ($1.700.000). NO incluye armado.</t>
        </is>
      </c>
      <c r="D12" s="20" t="inlineStr">
        <is>
          <t>Cotizado</t>
        </is>
      </c>
      <c r="E12" s="21" t="inlineStr">
        <is>
          <t>ARS</t>
        </is>
      </c>
      <c r="F12" s="23" t="n">
        <v>25800000</v>
      </c>
      <c r="G12" s="24" t="n">
        <v>0.21</v>
      </c>
      <c r="H12" s="25">
        <f>IF(F12="","",F12*(1+N(G12)))</f>
        <v/>
      </c>
      <c r="I12" s="26" t="n">
        <v>1</v>
      </c>
      <c r="J12" s="27">
        <f>IF(OR(D12="Bonificado",D12="Reemplazado"),0,N(I12)*IF(H12="",N(K12),IF(E12="USD",H12,H12/TABLERO!$C$4)))</f>
        <v/>
      </c>
      <c r="K12" s="28" t="n">
        <v>16500</v>
      </c>
      <c r="L12" s="27">
        <f>IF(D12="Alternativa","",J12-N(K12))</f>
        <v/>
      </c>
      <c r="M12" s="29" t="inlineStr">
        <is>
          <t>Presupuesto FDL Eventos N.º 026-2697 del 07/08/2026 · pendiente de resolver facturación al exterior</t>
        </is>
      </c>
    </row>
    <row r="13" ht="42" customHeight="1">
      <c r="A13" s="30" t="inlineStr">
        <is>
          <t>Montaje, acomodación y desmontaje de sillas</t>
        </is>
      </c>
      <c r="B13" s="31" t="inlineStr">
        <is>
          <t>En negociación</t>
        </is>
      </c>
      <c r="C13" s="32" t="inlineStr">
        <is>
          <t>Montaje previo, acomodación el sábado a la noche después de la dinámica y desmontaje el domingo.</t>
        </is>
      </c>
      <c r="D13" s="30" t="inlineStr">
        <is>
          <t>En negociación</t>
        </is>
      </c>
      <c r="E13" s="31" t="inlineStr">
        <is>
          <t>ARS</t>
        </is>
      </c>
      <c r="F13" s="33" t="n">
        <v>900000</v>
      </c>
      <c r="G13" s="34" t="n"/>
      <c r="H13" s="35">
        <f>IF(F13="","",F13*(1+N(G13)))</f>
        <v/>
      </c>
      <c r="I13" s="36" t="n">
        <v>1</v>
      </c>
      <c r="J13" s="37">
        <f>IF(OR(D13="Bonificado",D13="Reemplazado"),0,N(I13)*IF(H13="",N(K13),IF(E13="USD",H13,H13/TABLERO!$C$4)))</f>
        <v/>
      </c>
      <c r="K13" s="38" t="n"/>
      <c r="L13" s="37">
        <f>IF(D13="Alternativa","",J13-N(K13))</f>
        <v/>
      </c>
      <c r="M13" s="39" t="inlineStr">
        <is>
          <t>Negociación de Agustina · cerrar el número antes de firmar las sillas</t>
        </is>
      </c>
    </row>
    <row r="14" ht="42" customHeight="1">
      <c r="A14" s="30" t="inlineStr">
        <is>
          <t>Replanteo de sillas (ingeniero)</t>
        </is>
      </c>
      <c r="B14" s="31" t="inlineStr">
        <is>
          <t>Sin cotizar</t>
        </is>
      </c>
      <c r="C14" s="32" t="inlineStr">
        <is>
          <t>Replanteo del layout de sillas del pabellón. Confirmado que va aparte de la dirección técnica de La Rural.</t>
        </is>
      </c>
      <c r="D14" s="30" t="inlineStr">
        <is>
          <t>Sin cotizar</t>
        </is>
      </c>
      <c r="E14" s="31" t="inlineStr">
        <is>
          <t>USD</t>
        </is>
      </c>
      <c r="F14" s="38" t="n"/>
      <c r="G14" s="34" t="n"/>
      <c r="H14" s="37">
        <f>IF(F14="","",F14*(1+N(G14)))</f>
        <v/>
      </c>
      <c r="I14" s="36" t="n">
        <v>1</v>
      </c>
      <c r="J14" s="37">
        <f>IF(OR(D14="Bonificado",D14="Reemplazado"),0,N(I14)*IF(H14="",N(K14),IF(E14="USD",H14,H14/TABLERO!$C$4)))</f>
        <v/>
      </c>
      <c r="K14" s="38" t="n"/>
      <c r="L14" s="37">
        <f>IF(D14="Alternativa","",J14-N(K14))</f>
        <v/>
      </c>
      <c r="M14" s="39" t="inlineStr">
        <is>
          <t>Pendiente de pedir presupuesto</t>
        </is>
      </c>
    </row>
    <row r="15">
      <c r="A15" s="17" t="inlineStr">
        <is>
          <t>Subtotal Mobiliario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9">
        <f>SUMIF($D$12:$D$14,"&lt;&gt;Alternativa",$J$12:$J$14)</f>
        <v/>
      </c>
      <c r="K15" s="19">
        <f>SUM($K$12:$K$14)</f>
        <v/>
      </c>
      <c r="L15" s="19">
        <f>J15-K15</f>
        <v/>
      </c>
      <c r="M15" s="18" t="n"/>
    </row>
    <row r="16" ht="20" customHeight="1">
      <c r="A16" s="7" t="inlineStr">
        <is>
          <t>TÉCNICA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 ht="42" customHeight="1">
      <c r="A17" s="9" t="inlineStr">
        <is>
          <t>Producción técnica</t>
        </is>
      </c>
      <c r="B17" s="10" t="inlineStr">
        <is>
          <t>Cerrado por Agustina</t>
        </is>
      </c>
      <c r="C17" s="11" t="inlineStr">
        <is>
          <t>Sonido, iluminación, video y LED. Cerrado en dólares.</t>
        </is>
      </c>
      <c r="D17" s="9" t="inlineStr">
        <is>
          <t>Cerrado</t>
        </is>
      </c>
      <c r="E17" s="10" t="inlineStr">
        <is>
          <t>USD</t>
        </is>
      </c>
      <c r="F17" s="12" t="n">
        <v>60000</v>
      </c>
      <c r="G17" s="13" t="n"/>
      <c r="H17" s="14">
        <f>IF(F17="","",F17*(1+N(G17)))</f>
        <v/>
      </c>
      <c r="I17" s="15" t="n">
        <v>1</v>
      </c>
      <c r="J17" s="14">
        <f>IF(OR(D17="Bonificado",D17="Reemplazado"),0,N(I17)*IF(H17="",N(K17),IF(E17="USD",H17,H17/TABLERO!$C$4)))</f>
        <v/>
      </c>
      <c r="K17" s="12" t="n">
        <v>34000</v>
      </c>
      <c r="L17" s="14">
        <f>IF(D17="Alternativa","",J17-N(K17))</f>
        <v/>
      </c>
      <c r="M17" s="16" t="inlineStr">
        <is>
          <t>Negociación de Agustina · reemplaza la cotización vencida de Prina</t>
        </is>
      </c>
    </row>
    <row r="18" ht="42" customHeight="1">
      <c r="A18" s="9" t="inlineStr">
        <is>
          <t>Entelado</t>
        </is>
      </c>
      <c r="B18" s="10" t="inlineStr">
        <is>
          <t>Cerrado por Agustina</t>
        </is>
      </c>
      <c r="C18" s="11" t="inlineStr">
        <is>
          <t>Entelado del pabellón. Negociado a la mitad de lo que estaba cotizado.</t>
        </is>
      </c>
      <c r="D18" s="9" t="inlineStr">
        <is>
          <t>Cerrado</t>
        </is>
      </c>
      <c r="E18" s="10" t="inlineStr">
        <is>
          <t>ARS</t>
        </is>
      </c>
      <c r="F18" s="40" t="n">
        <v>24500000</v>
      </c>
      <c r="G18" s="13" t="n"/>
      <c r="H18" s="41">
        <f>IF(F18="","",F18*(1+N(G18)))</f>
        <v/>
      </c>
      <c r="I18" s="15" t="n">
        <v>1</v>
      </c>
      <c r="J18" s="14">
        <f>IF(OR(D18="Bonificado",D18="Reemplazado"),0,N(I18)*IF(H18="",N(K18),IF(E18="USD",H18,H18/TABLERO!$C$4)))</f>
        <v/>
      </c>
      <c r="K18" s="12" t="n"/>
      <c r="L18" s="14">
        <f>IF(D18="Alternativa","",J18-N(K18))</f>
        <v/>
      </c>
      <c r="M18" s="16" t="inlineStr">
        <is>
          <t>Negociación de Agustina · US$16.000 aprox. al dólar de referencia</t>
        </is>
      </c>
    </row>
    <row r="19" ht="42" customHeight="1">
      <c r="A19" s="9" t="inlineStr">
        <is>
          <t>Circuito cerrado (CCTV)</t>
        </is>
      </c>
      <c r="B19" s="10" t="inlineStr">
        <is>
          <t>Cerrado por Agustina</t>
        </is>
      </c>
      <c r="C19" s="11" t="inlineStr">
        <is>
          <t>Circuito cerrado de cámaras para el pabellón.</t>
        </is>
      </c>
      <c r="D19" s="9" t="inlineStr">
        <is>
          <t>Cerrado</t>
        </is>
      </c>
      <c r="E19" s="10" t="inlineStr">
        <is>
          <t>USD</t>
        </is>
      </c>
      <c r="F19" s="12" t="n">
        <v>6209</v>
      </c>
      <c r="G19" s="13" t="n"/>
      <c r="H19" s="14">
        <f>IF(F19="","",F19*(1+N(G19)))</f>
        <v/>
      </c>
      <c r="I19" s="15" t="n">
        <v>1</v>
      </c>
      <c r="J19" s="14">
        <f>IF(OR(D19="Bonificado",D19="Reemplazado"),0,N(I19)*IF(H19="",N(K19),IF(E19="USD",H19,H19/TABLERO!$C$4)))</f>
        <v/>
      </c>
      <c r="K19" s="12" t="n"/>
      <c r="L19" s="14">
        <f>IF(D19="Alternativa","",J19-N(K19))</f>
        <v/>
      </c>
      <c r="M19" s="16" t="inlineStr">
        <is>
          <t>Negociación de Agustina</t>
        </is>
      </c>
    </row>
    <row r="20" ht="42" customHeight="1">
      <c r="A20" s="42" t="inlineStr">
        <is>
          <t>Bonificado por el proveedor de técnica</t>
        </is>
      </c>
      <c r="B20" s="43" t="inlineStr">
        <is>
          <t>Sin costo</t>
        </is>
      </c>
      <c r="C20" s="44" t="inlineStr">
        <is>
          <t>500 vallas y efectos especiales, sin cargo. Es lo que evita el gasto de vallado que estaba presupuestado.</t>
        </is>
      </c>
      <c r="D20" s="42" t="inlineStr">
        <is>
          <t>Bonificado</t>
        </is>
      </c>
      <c r="E20" s="43" t="inlineStr">
        <is>
          <t>USD</t>
        </is>
      </c>
      <c r="F20" s="45" t="n"/>
      <c r="G20" s="46" t="n"/>
      <c r="H20" s="47">
        <f>IF(F20="","",F20*(1+N(G20)))</f>
        <v/>
      </c>
      <c r="I20" s="48" t="n">
        <v>1</v>
      </c>
      <c r="J20" s="47">
        <f>IF(OR(D20="Bonificado",D20="Reemplazado"),0,N(I20)*IF(H20="",N(K20),IF(E20="USD",H20,H20/TABLERO!$C$4)))</f>
        <v/>
      </c>
      <c r="K20" s="45" t="n"/>
      <c r="L20" s="47">
        <f>IF(D20="Alternativa","",J20-N(K20))</f>
        <v/>
      </c>
      <c r="M20" s="49" t="inlineStr">
        <is>
          <t>Negociación de Agustina</t>
        </is>
      </c>
    </row>
    <row r="21">
      <c r="A21" s="17" t="inlineStr">
        <is>
          <t>Subtotal Técnica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9">
        <f>SUMIF($D$17:$D$20,"&lt;&gt;Alternativa",$J$17:$J$20)</f>
        <v/>
      </c>
      <c r="K21" s="19">
        <f>SUM($K$17:$K$20)</f>
        <v/>
      </c>
      <c r="L21" s="19">
        <f>J21-K21</f>
        <v/>
      </c>
      <c r="M21" s="18" t="n"/>
    </row>
    <row r="22" ht="20" customHeight="1">
      <c r="A22" s="7" t="inlineStr">
        <is>
          <t>SERVICIOS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 ht="42" customHeight="1">
      <c r="A23" s="20" t="inlineStr">
        <is>
          <t>Conectividad WiFi</t>
        </is>
      </c>
      <c r="B23" s="21" t="inlineStr">
        <is>
          <t>La Rural — Servicios de Conectividad</t>
        </is>
      </c>
      <c r="C23" s="22" t="inlineStr">
        <is>
          <t>2 redes privadas de 30 Mbps (técnica + staff/acreditación), del 2 al 4 de octubre</t>
        </is>
      </c>
      <c r="D23" s="20" t="inlineStr">
        <is>
          <t>Cotizado</t>
        </is>
      </c>
      <c r="E23" s="21" t="inlineStr">
        <is>
          <t>ARS</t>
        </is>
      </c>
      <c r="F23" s="23" t="n">
        <v>1466063.84</v>
      </c>
      <c r="G23" s="24" t="n">
        <v>0.21</v>
      </c>
      <c r="H23" s="25">
        <f>IF(F23="","",F23*(1+N(G23)))</f>
        <v/>
      </c>
      <c r="I23" s="26" t="n">
        <v>1</v>
      </c>
      <c r="J23" s="27">
        <f>IF(OR(D23="Bonificado",D23="Reemplazado"),0,N(I23)*IF(H23="",N(K23),IF(E23="USD",H23,H23/TABLERO!$C$4)))</f>
        <v/>
      </c>
      <c r="K23" s="28" t="n">
        <v>800</v>
      </c>
      <c r="L23" s="27">
        <f>IF(D23="Alternativa","",J23-N(K23))</f>
        <v/>
      </c>
      <c r="M23" s="29" t="inlineStr">
        <is>
          <t>Mail conectividad@larural.com.ar 05/08/2026 · presupuesto N.º 2, base IPC junio (el del 16/06 era $1.438.728)</t>
        </is>
      </c>
    </row>
    <row r="24" ht="42" customHeight="1">
      <c r="A24" s="20" t="inlineStr">
        <is>
          <t>Seguridad y vigilancia</t>
        </is>
      </c>
      <c r="B24" s="21" t="inlineStr">
        <is>
          <t>Road Seguridad S.A.</t>
        </is>
      </c>
      <c r="C24" s="22" t="inlineStr">
        <is>
          <t>263 horas de vigilancia (armado, evento y desarme) + planos de evacuación $715.000 + supervisión general $795.000</t>
        </is>
      </c>
      <c r="D24" s="20" t="inlineStr">
        <is>
          <t>Cotizado</t>
        </is>
      </c>
      <c r="E24" s="21" t="inlineStr">
        <is>
          <t>ARS</t>
        </is>
      </c>
      <c r="F24" s="23" t="n">
        <v>7218928.96</v>
      </c>
      <c r="G24" s="24" t="n">
        <v>0.21</v>
      </c>
      <c r="H24" s="25">
        <f>IF(F24="","",F24*(1+N(G24)))</f>
        <v/>
      </c>
      <c r="I24" s="26" t="n">
        <v>1</v>
      </c>
      <c r="J24" s="27">
        <f>IF(OR(D24="Bonificado",D24="Reemplazado"),0,N(I24)*IF(H24="",N(K24),IF(E24="USD",H24,H24/TABLERO!$C$4)))</f>
        <v/>
      </c>
      <c r="K24" s="28" t="n"/>
      <c r="L24" s="27">
        <f>IF(D24="Alternativa","",J24-N(K24))</f>
        <v/>
      </c>
      <c r="M24" s="29" t="inlineStr">
        <is>
          <t>Mail presupuestos@roadseguridad.com.ar 12/08/2026 (versión V3, lista para firmar)</t>
        </is>
      </c>
    </row>
    <row r="25" ht="42" customHeight="1">
      <c r="A25" s="20" t="inlineStr">
        <is>
          <t>Servicio médico</t>
        </is>
      </c>
      <c r="B25" s="21" t="inlineStr">
        <is>
          <t>Vittal — Socorro Médico Privado</t>
        </is>
      </c>
      <c r="C25" s="22" t="inlineStr">
        <is>
          <t>1 UTIM TRI con dos médicos + enfermero/chofer, los tres días (2, 3 y 4 de octubre)</t>
        </is>
      </c>
      <c r="D25" s="20" t="inlineStr">
        <is>
          <t>Cotizado</t>
        </is>
      </c>
      <c r="E25" s="21" t="inlineStr">
        <is>
          <t>ARS</t>
        </is>
      </c>
      <c r="F25" s="23" t="n">
        <v>6366521.27</v>
      </c>
      <c r="G25" s="24" t="n">
        <v>0.105</v>
      </c>
      <c r="H25" s="25">
        <f>IF(F25="","",F25*(1+N(G25)))</f>
        <v/>
      </c>
      <c r="I25" s="26" t="n">
        <v>1</v>
      </c>
      <c r="J25" s="27">
        <f>IF(OR(D25="Bonificado",D25="Reemplazado"),0,N(I25)*IF(H25="",N(K25),IF(E25="USD",H25,H25/TABLERO!$C$4)))</f>
        <v/>
      </c>
      <c r="K25" s="28" t="n"/>
      <c r="L25" s="27">
        <f>IF(D25="Alternativa","",J25-N(K25))</f>
        <v/>
      </c>
      <c r="M25" s="29" t="inlineStr">
        <is>
          <t>Mail vtomas@vittal.com.ar 28/08/2026 · tarifas actualizadas, sin consultorio</t>
        </is>
      </c>
    </row>
    <row r="26" ht="42" customHeight="1">
      <c r="A26" s="20" t="inlineStr">
        <is>
          <t>Limpieza</t>
        </is>
      </c>
      <c r="B26" s="21" t="inlineStr">
        <is>
          <t>Higia Eventos</t>
        </is>
      </c>
      <c r="C26" s="22" t="inlineStr">
        <is>
          <t>205,5 horas de limpieza: auditorio, baños y guardarropas, del 2 al 5 de octubre</t>
        </is>
      </c>
      <c r="D26" s="20" t="inlineStr">
        <is>
          <t>Cotizado</t>
        </is>
      </c>
      <c r="E26" s="21" t="inlineStr">
        <is>
          <t>ARS</t>
        </is>
      </c>
      <c r="F26" s="23" t="n">
        <v>3367440.91</v>
      </c>
      <c r="G26" s="24" t="n">
        <v>0.21</v>
      </c>
      <c r="H26" s="25">
        <f>IF(F26="","",F26*(1+N(G26)))</f>
        <v/>
      </c>
      <c r="I26" s="26" t="n">
        <v>1</v>
      </c>
      <c r="J26" s="27">
        <f>IF(OR(D26="Bonificado",D26="Reemplazado"),0,N(I26)*IF(H26="",N(K26),IF(E26="USD",H26,H26/TABLERO!$C$4)))</f>
        <v/>
      </c>
      <c r="K26" s="28" t="n"/>
      <c r="L26" s="27">
        <f>IF(D26="Alternativa","",J26-N(K26))</f>
        <v/>
      </c>
      <c r="M26" s="29" t="inlineStr">
        <is>
          <t>Mail higiaeventos 22/06/2026 (reenviado 29/06) · 50% de anticipo antes del armado</t>
        </is>
      </c>
    </row>
    <row r="27" ht="42" customHeight="1">
      <c r="A27" s="20" t="inlineStr">
        <is>
          <t>Retiro de residuos</t>
        </is>
      </c>
      <c r="B27" s="21" t="inlineStr">
        <is>
          <t>Gale Servicios</t>
        </is>
      </c>
      <c r="C27" s="22" t="inlineStr">
        <is>
          <t>Roll off con disposición final incluida. Cotización base abril 2026.</t>
        </is>
      </c>
      <c r="D27" s="20" t="inlineStr">
        <is>
          <t>Cotizado</t>
        </is>
      </c>
      <c r="E27" s="21" t="inlineStr">
        <is>
          <t>ARS</t>
        </is>
      </c>
      <c r="F27" s="23" t="n">
        <v>1471608.62</v>
      </c>
      <c r="G27" s="24" t="n">
        <v>0.21</v>
      </c>
      <c r="H27" s="25">
        <f>IF(F27="","",F27*(1+N(G27)))</f>
        <v/>
      </c>
      <c r="I27" s="26" t="n">
        <v>1</v>
      </c>
      <c r="J27" s="27">
        <f>IF(OR(D27="Bonificado",D27="Reemplazado"),0,N(I27)*IF(H27="",N(K27),IF(E27="USD",H27,H27/TABLERO!$C$4)))</f>
        <v/>
      </c>
      <c r="K27" s="28" t="n"/>
      <c r="L27" s="27">
        <f>IF(D27="Alternativa","",J27-N(K27))</f>
        <v/>
      </c>
      <c r="M27" s="29" t="inlineStr">
        <is>
          <t>Mail higiaeventos 22/06/2026 (adjunto Gale) · se factura 100% por adelantado</t>
        </is>
      </c>
    </row>
    <row r="28" ht="42" customHeight="1">
      <c r="A28" s="30" t="inlineStr">
        <is>
          <t>Baños químicos — ecobaños</t>
        </is>
      </c>
      <c r="B28" s="31" t="inlineStr">
        <is>
          <t>Sin cotizar</t>
        </is>
      </c>
      <c r="C28" s="32" t="inlineStr">
        <is>
          <t>Decidido: ecobaños, no los químicos tradicionales. Más limpios, mejor a la vista y ecofriendly. Falta pedir presupuesto.</t>
        </is>
      </c>
      <c r="D28" s="30" t="inlineStr">
        <is>
          <t>Sin cotizar</t>
        </is>
      </c>
      <c r="E28" s="31" t="inlineStr">
        <is>
          <t>USD</t>
        </is>
      </c>
      <c r="F28" s="38" t="n"/>
      <c r="G28" s="34" t="n"/>
      <c r="H28" s="37">
        <f>IF(F28="","",F28*(1+N(G28)))</f>
        <v/>
      </c>
      <c r="I28" s="36" t="n">
        <v>1</v>
      </c>
      <c r="J28" s="37">
        <f>IF(OR(D28="Bonificado",D28="Reemplazado"),0,N(I28)*IF(H28="",N(K28),IF(E28="USD",H28,H28/TABLERO!$C$4)))</f>
        <v/>
      </c>
      <c r="K28" s="38" t="n"/>
      <c r="L28" s="37">
        <f>IF(D28="Alternativa","",J28-N(K28))</f>
        <v/>
      </c>
      <c r="M28" s="39" t="inlineStr">
        <is>
          <t>Decisión de Agustina · pendiente de cotizar</t>
        </is>
      </c>
    </row>
    <row r="29" ht="42" customHeight="1">
      <c r="A29" s="20" t="inlineStr">
        <is>
          <t>Seguro de accidentes personales</t>
        </is>
      </c>
      <c r="B29" s="21" t="inlineStr">
        <is>
          <t>Chanes Seguros</t>
        </is>
      </c>
      <c r="C29" s="22" t="inlineStr">
        <is>
          <t>Cobertura MIA (muerte, invalidez y asistencia médica) para 150 personas, exigida por La Rural</t>
        </is>
      </c>
      <c r="D29" s="20" t="inlineStr">
        <is>
          <t>Cotizado</t>
        </is>
      </c>
      <c r="E29" s="21" t="inlineStr">
        <is>
          <t>ARS</t>
        </is>
      </c>
      <c r="F29" s="23" t="n">
        <v>953151.9300000001</v>
      </c>
      <c r="G29" s="24" t="n"/>
      <c r="H29" s="25">
        <f>IF(F29="","",F29*(1+N(G29)))</f>
        <v/>
      </c>
      <c r="I29" s="26" t="n">
        <v>1</v>
      </c>
      <c r="J29" s="27">
        <f>IF(OR(D29="Bonificado",D29="Reemplazado"),0,N(I29)*IF(H29="",N(K29),IF(E29="USD",H29,H29/TABLERO!$C$4)))</f>
        <v/>
      </c>
      <c r="K29" s="28" t="n">
        <v>400</v>
      </c>
      <c r="L29" s="27">
        <f>IF(D29="Alternativa","",J29-N(K29))</f>
        <v/>
      </c>
      <c r="M29" s="29" t="inlineStr">
        <is>
          <t>Mail nestor@chanesseguros.com.ar 13/07/2026 · premio único, cotizado para 15-19/07</t>
        </is>
      </c>
    </row>
    <row r="30">
      <c r="A30" s="17" t="inlineStr">
        <is>
          <t>Subtotal Servicios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9">
        <f>SUMIF($D$23:$D$29,"&lt;&gt;Alternativa",$J$23:$J$29)</f>
        <v/>
      </c>
      <c r="K30" s="19">
        <f>SUM($K$23:$K$29)</f>
        <v/>
      </c>
      <c r="L30" s="19">
        <f>J30-K30</f>
        <v/>
      </c>
      <c r="M30" s="18" t="n"/>
    </row>
    <row r="31" ht="20" customHeight="1">
      <c r="A31" s="7" t="inlineStr">
        <is>
          <t>MERCH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 ht="42" customHeight="1">
      <c r="A32" s="9" t="inlineStr">
        <is>
          <t>Pañuelos / pañoletas estampados (8.500)</t>
        </is>
      </c>
      <c r="B32" s="10" t="inlineStr">
        <is>
          <t>REMERASYESTAMPADOS</t>
        </is>
      </c>
      <c r="C32" s="11" t="inlineStr">
        <is>
          <t>Factura 2601012 del 20/06. Compra compartida Argentina + Uruguay: se imputa a Argentina el 65% (5.500 de 8.500 unidades, la misma proporcion que la grafica). El 50% ya esta abonado; el saldo se paga con la factura 2601019 por 5.276,51 USDT, de los cuales 3.429,73 son de Argentina.</t>
        </is>
      </c>
      <c r="D32" s="9" t="inlineStr">
        <is>
          <t>Contratado</t>
        </is>
      </c>
      <c r="E32" s="10" t="inlineStr">
        <is>
          <t>ARS</t>
        </is>
      </c>
      <c r="F32" s="40" t="n">
        <v>13387500</v>
      </c>
      <c r="G32" s="13" t="n">
        <v>0.21</v>
      </c>
      <c r="H32" s="41">
        <f>IF(F32="","",F32*(1+N(G32)))</f>
        <v/>
      </c>
      <c r="I32" s="13" t="n">
        <v>0.65</v>
      </c>
      <c r="J32" s="14">
        <f>IF(OR(D32="Bonificado",D32="Reemplazado"),0,N(I32)*IF(H32="",N(K32),IF(E32="USD",H32,H32/TABLERO!$C$4)))</f>
        <v/>
      </c>
      <c r="K32" s="12" t="n"/>
      <c r="L32" s="14">
        <f>IF(D32="Alternativa","",J32-N(K32))</f>
        <v/>
      </c>
      <c r="M32" s="16" t="inlineStr">
        <is>
          <t>Drive · Presupuesto Pañuelos - Arg y Uru · facturas 2601012 (20/06) y 2601019 (16/08)</t>
        </is>
      </c>
    </row>
    <row r="33" ht="42" customHeight="1">
      <c r="A33" s="9" t="inlineStr">
        <is>
          <t>Remeras premium estampadas (250)</t>
        </is>
      </c>
      <c r="B33" s="10" t="inlineStr">
        <is>
          <t>REMERASYESTAMPADOS</t>
        </is>
      </c>
      <c r="C33" s="11" t="inlineStr">
        <is>
          <t>Factura 2601017 del 16/08, $14.110 por unidad. Sube de 230 a 250 unidades contra la factura original 2601011, al mismo precio unitario. SIN PAGAR: se debe el 100% (2.780,64 USDT).</t>
        </is>
      </c>
      <c r="D33" s="9" t="inlineStr">
        <is>
          <t>Contratado</t>
        </is>
      </c>
      <c r="E33" s="10" t="inlineStr">
        <is>
          <t>ARS</t>
        </is>
      </c>
      <c r="F33" s="40" t="n">
        <v>3527500</v>
      </c>
      <c r="G33" s="13" t="n">
        <v>0.21</v>
      </c>
      <c r="H33" s="41">
        <f>IF(F33="","",F33*(1+N(G33)))</f>
        <v/>
      </c>
      <c r="I33" s="15" t="n">
        <v>1</v>
      </c>
      <c r="J33" s="14">
        <f>IF(OR(D33="Bonificado",D33="Reemplazado"),0,N(I33)*IF(H33="",N(K33),IF(E33="USD",H33,H33/TABLERO!$C$4)))</f>
        <v/>
      </c>
      <c r="K33" s="12" t="n"/>
      <c r="L33" s="14">
        <f>IF(D33="Alternativa","",J33-N(K33))</f>
        <v/>
      </c>
      <c r="M33" s="16" t="inlineStr">
        <is>
          <t>Drive · Presupuestos camisetas + pañoletas · factura 2601017 (16/08)</t>
        </is>
      </c>
    </row>
    <row r="34" ht="42" customHeight="1">
      <c r="A34" s="9" t="inlineStr">
        <is>
          <t>Bordado de gorras (940)</t>
        </is>
      </c>
      <c r="B34" s="10" t="inlineStr">
        <is>
          <t>REMERASYESTAMPADOS</t>
        </is>
      </c>
      <c r="C34" s="11" t="inlineStr">
        <is>
          <t>Bordado computarizado sobre las gorras que provee el cliente. Presupuesto del 03/07 con el descuento de $411.800 ya aplicado. Precio final, no lleva IVA. SIN PAGAR: se debe el 100% (1.721,95 USDT).</t>
        </is>
      </c>
      <c r="D34" s="9" t="inlineStr">
        <is>
          <t>Contratado</t>
        </is>
      </c>
      <c r="E34" s="10" t="inlineStr">
        <is>
          <t>ARS</t>
        </is>
      </c>
      <c r="F34" s="40" t="n">
        <v>2643200</v>
      </c>
      <c r="G34" s="13" t="n"/>
      <c r="H34" s="41">
        <f>IF(F34="","",F34*(1+N(G34)))</f>
        <v/>
      </c>
      <c r="I34" s="15" t="n">
        <v>1</v>
      </c>
      <c r="J34" s="14">
        <f>IF(OR(D34="Bonificado",D34="Reemplazado"),0,N(I34)*IF(H34="",N(K34),IF(E34="USD",H34,H34/TABLERO!$C$4)))</f>
        <v/>
      </c>
      <c r="K34" s="12" t="n"/>
      <c r="L34" s="14">
        <f>IF(D34="Alternativa","",J34-N(K34))</f>
        <v/>
      </c>
      <c r="M34" s="16" t="inlineStr">
        <is>
          <t>Drive · Presupuesto gorras (compra y bordado) / Bordado · factura 2601016 (10/08)</t>
        </is>
      </c>
    </row>
    <row r="35" ht="42" customHeight="1">
      <c r="A35" s="9" t="inlineStr">
        <is>
          <t>Gorras Flex unicolor/bicolor (940)</t>
        </is>
      </c>
      <c r="B35" s="10" t="inlineStr">
        <is>
          <t>TEXTIL RYU S.R.L.</t>
        </is>
      </c>
      <c r="C35" s="11" t="inlineStr">
        <is>
          <t>Factura 2601009 del 20/06, pagada al 100% el 25/06. Es la compra de las gorras; el bordado va en su propia linea.</t>
        </is>
      </c>
      <c r="D35" s="9" t="inlineStr">
        <is>
          <t>Contratado</t>
        </is>
      </c>
      <c r="E35" s="10" t="inlineStr">
        <is>
          <t>ARS</t>
        </is>
      </c>
      <c r="F35" s="40" t="n">
        <v>2224980</v>
      </c>
      <c r="G35" s="13" t="n">
        <v>0.21</v>
      </c>
      <c r="H35" s="41">
        <f>IF(F35="","",F35*(1+N(G35)))</f>
        <v/>
      </c>
      <c r="I35" s="15" t="n">
        <v>1</v>
      </c>
      <c r="J35" s="14">
        <f>IF(OR(D35="Bonificado",D35="Reemplazado"),0,N(I35)*IF(H35="",N(K35),IF(E35="USD",H35,H35/TABLERO!$C$4)))</f>
        <v/>
      </c>
      <c r="K35" s="12" t="n">
        <v>5000</v>
      </c>
      <c r="L35" s="14">
        <f>IF(D35="Alternativa","",J35-N(K35))</f>
        <v/>
      </c>
      <c r="M35" s="16" t="inlineStr">
        <is>
          <t>Drive · Compra de gorras · factura 2601009 · hoja PAGOS del master</t>
        </is>
      </c>
    </row>
    <row r="36" ht="42" customHeight="1">
      <c r="A36" s="9" t="inlineStr">
        <is>
          <t>Lanyards premium doble raso 25 mm (1.360)</t>
        </is>
      </c>
      <c r="B36" s="10" t="inlineStr">
        <is>
          <t>LEOTEX</t>
        </is>
      </c>
      <c r="C36" s="11" t="inlineStr">
        <is>
          <t>Sublimacion full print en ambas caras, 1.300 negros + 50 azules (la factura dice 1.360, la suma da 1.350: hay 10 de diferencia). Reemitida como 2601018 en USDT. OJO: la carpeta se llama "Nuevo pago - 50%" pero la factura viene por el total.</t>
        </is>
      </c>
      <c r="D36" s="9" t="inlineStr">
        <is>
          <t>Contratado</t>
        </is>
      </c>
      <c r="E36" s="10" t="inlineStr">
        <is>
          <t>ARS</t>
        </is>
      </c>
      <c r="F36" s="40" t="n">
        <v>2070600</v>
      </c>
      <c r="G36" s="13" t="n">
        <v>0.21</v>
      </c>
      <c r="H36" s="41">
        <f>IF(F36="","",F36*(1+N(G36)))</f>
        <v/>
      </c>
      <c r="I36" s="15" t="n">
        <v>1</v>
      </c>
      <c r="J36" s="14">
        <f>IF(OR(D36="Bonificado",D36="Reemplazado"),0,N(I36)*IF(H36="",N(K36),IF(E36="USD",H36,H36/TABLERO!$C$4)))</f>
        <v/>
      </c>
      <c r="K36" s="12" t="n"/>
      <c r="L36" s="14">
        <f>IF(D36="Alternativa","",J36-N(K36))</f>
        <v/>
      </c>
      <c r="M36" s="16" t="inlineStr">
        <is>
          <t>Drive · Presupuesto Lanyards · facturas 2601013 (20/06) y 2601018 (16/08)</t>
        </is>
      </c>
    </row>
    <row r="37" ht="42" customHeight="1">
      <c r="A37" s="9" t="inlineStr">
        <is>
          <t>Grafica oficial CMC — Argentina</t>
        </is>
      </c>
      <c r="B37" s="10" t="inlineStr">
        <is>
          <t>DERQUI IMPRESIONES</t>
        </is>
      </c>
      <c r="C37" s="11" t="inlineStr">
        <is>
          <t>5.500 hojas A4, 5.500 tarjetas, 1.030 credenciales, 5.500 mapas y 1.000 bolsas de friselina. Reemitida el 16/08 para cambiar el medio de pago a USDT.</t>
        </is>
      </c>
      <c r="D37" s="9" t="inlineStr">
        <is>
          <t>Contratado</t>
        </is>
      </c>
      <c r="E37" s="10" t="inlineStr">
        <is>
          <t>ARS</t>
        </is>
      </c>
      <c r="F37" s="40" t="n">
        <v>3025260</v>
      </c>
      <c r="G37" s="13" t="n">
        <v>0.21</v>
      </c>
      <c r="H37" s="41">
        <f>IF(F37="","",F37*(1+N(G37)))</f>
        <v/>
      </c>
      <c r="I37" s="15" t="n">
        <v>1</v>
      </c>
      <c r="J37" s="14">
        <f>IF(OR(D37="Bonificado",D37="Reemplazado"),0,N(I37)*IF(H37="",N(K37),IF(E37="USD",H37,H37/TABLERO!$C$4)))</f>
        <v/>
      </c>
      <c r="K37" s="12" t="n"/>
      <c r="L37" s="14">
        <f>IF(D37="Alternativa","",J37-N(K37))</f>
        <v/>
      </c>
      <c r="M37" s="16" t="inlineStr">
        <is>
          <t>Drive · Factura/presu ARGENTINA · factura 2601014 (20/06, reemitida 16/08)</t>
        </is>
      </c>
    </row>
    <row r="38" ht="42" customHeight="1">
      <c r="A38" s="42" t="inlineStr">
        <is>
          <t>Grafica oficial CMC — Uruguay</t>
        </is>
      </c>
      <c r="B38" s="43" t="inlineStr">
        <is>
          <t>DERQUI IMPRESIONES</t>
        </is>
      </c>
      <c r="C38" s="44" t="inlineStr">
        <is>
          <t>NO ES DE ARGENTINA. 2.800 hojas A4, 2.800 tarjetas, 530 credenciales, 2.800 mapas y 1.000 bolsas de friselina, para el evento de Uruguay. Se deja a la vista en cero porque en la hoja PAGOS del master estaba cargada como Argentina: es el monto que no cerraba.</t>
        </is>
      </c>
      <c r="D38" s="42" t="inlineStr">
        <is>
          <t>Otro pais</t>
        </is>
      </c>
      <c r="E38" s="43" t="inlineStr">
        <is>
          <t>ARS</t>
        </is>
      </c>
      <c r="F38" s="50" t="n">
        <v>1564626</v>
      </c>
      <c r="G38" s="46" t="n">
        <v>0.21</v>
      </c>
      <c r="H38" s="51">
        <f>IF(F38="","",F38*(1+N(G38)))</f>
        <v/>
      </c>
      <c r="I38" s="46" t="n">
        <v>0</v>
      </c>
      <c r="J38" s="47">
        <f>IF(OR(D38="Bonificado",D38="Reemplazado"),0,N(I38)*IF(H38="",N(K38),IF(E38="USD",H38,H38/TABLERO!$C$4)))</f>
        <v/>
      </c>
      <c r="K38" s="45" t="n"/>
      <c r="L38" s="47">
        <f>IF(D38="Alternativa","",J38-N(K38))</f>
        <v/>
      </c>
      <c r="M38" s="49" t="inlineStr">
        <is>
          <t>Drive · Factura/presu URUGUAY · factura 2601015 (20/06, reemitida 16/08)</t>
        </is>
      </c>
    </row>
    <row r="39" ht="42" customHeight="1">
      <c r="A39" s="42" t="inlineStr">
        <is>
          <t>Cintas portacredencial (1.300) — alternativa</t>
        </is>
      </c>
      <c r="B39" s="43" t="inlineStr">
        <is>
          <t>Blocko</t>
        </is>
      </c>
      <c r="C39" s="44" t="inlineStr">
        <is>
          <t>Cinta raso 25 mm impresa a 4 colores dos caras + mosqueton zamak, $1.346 c/u. Es el MISMO item que los lanyards de LEOTEX, que ya esta contratado y con anticipo pagado. Estaba sumando dos veces: ahora queda como alternativa descartada.</t>
        </is>
      </c>
      <c r="D39" s="42" t="inlineStr">
        <is>
          <t>Alternativa</t>
        </is>
      </c>
      <c r="E39" s="43" t="inlineStr">
        <is>
          <t>ARS</t>
        </is>
      </c>
      <c r="F39" s="50" t="n">
        <v>1749800</v>
      </c>
      <c r="G39" s="46" t="n">
        <v>0.21</v>
      </c>
      <c r="H39" s="51">
        <f>IF(F39="","",F39*(1+N(G39)))</f>
        <v/>
      </c>
      <c r="I39" s="48" t="n">
        <v>1</v>
      </c>
      <c r="J39" s="47">
        <f>IF(OR(D39="Bonificado",D39="Reemplazado"),0,N(I39)*IF(H39="",N(K39),IF(E39="USD",H39,H39/TABLERO!$C$4)))</f>
        <v/>
      </c>
      <c r="K39" s="45" t="n"/>
      <c r="L39" s="47">
        <f>IF(D39="Alternativa","",J39-N(K39))</f>
        <v/>
      </c>
      <c r="M39" s="49" t="inlineStr">
        <is>
          <t>Mail hola@blocko.com.ar 09/06/2026 · descartada contra la factura 2601013 de LEOTEX</t>
        </is>
      </c>
    </row>
    <row r="40" ht="42" customHeight="1">
      <c r="A40" s="30" t="inlineStr">
        <is>
          <t>Marqueteria y enmarcado</t>
        </is>
      </c>
      <c r="B40" s="31" t="inlineStr">
        <is>
          <t>Sin cotizar</t>
        </is>
      </c>
      <c r="C40" s="32" t="inlineStr">
        <is>
          <t>Enmarcado de las certificaciones y los premios. Rubro nuevo, no estaba en ninguna planilla.</t>
        </is>
      </c>
      <c r="D40" s="30" t="inlineStr">
        <is>
          <t>Sin cotizar</t>
        </is>
      </c>
      <c r="E40" s="31" t="inlineStr">
        <is>
          <t>USD</t>
        </is>
      </c>
      <c r="F40" s="38" t="n"/>
      <c r="G40" s="34" t="n"/>
      <c r="H40" s="37">
        <f>IF(F40="","",F40*(1+N(G40)))</f>
        <v/>
      </c>
      <c r="I40" s="36" t="n">
        <v>1</v>
      </c>
      <c r="J40" s="37">
        <f>IF(OR(D40="Bonificado",D40="Reemplazado"),0,N(I40)*IF(H40="",N(K40),IF(E40="USD",H40,H40/TABLERO!$C$4)))</f>
        <v/>
      </c>
      <c r="K40" s="38" t="n"/>
      <c r="L40" s="37">
        <f>IF(D40="Alternativa","",J40-N(K40))</f>
        <v/>
      </c>
      <c r="M40" s="39" t="inlineStr">
        <is>
          <t>Agregado por Agustina · pendiente de cotizar</t>
        </is>
      </c>
    </row>
    <row r="41" ht="42" customHeight="1">
      <c r="A41" s="30" t="inlineStr">
        <is>
          <t>Cheques, escarapelas, diplomas, placas y manillas</t>
        </is>
      </c>
      <c r="B41" s="31" t="inlineStr">
        <is>
          <t>Sin cotizar</t>
        </is>
      </c>
      <c r="C41" s="32" t="inlineStr">
        <is>
          <t>Lo unico del merch que las facturas de Drive NO cubren. Las camisetas, los mapas, las bolsas y las credenciales ya estan facturados arriba.</t>
        </is>
      </c>
      <c r="D41" s="30" t="inlineStr">
        <is>
          <t>Sin cotizar</t>
        </is>
      </c>
      <c r="E41" s="31" t="inlineStr">
        <is>
          <t>USD</t>
        </is>
      </c>
      <c r="F41" s="38" t="n"/>
      <c r="G41" s="34" t="n"/>
      <c r="H41" s="37">
        <f>IF(F41="","",F41*(1+N(G41)))</f>
        <v/>
      </c>
      <c r="I41" s="36" t="n">
        <v>1</v>
      </c>
      <c r="J41" s="37">
        <f>IF(OR(D41="Bonificado",D41="Reemplazado"),0,N(I41)*IF(H41="",N(K41),IF(E41="USD",H41,H41/TABLERO!$C$4)))</f>
        <v/>
      </c>
      <c r="K41" s="38" t="n"/>
      <c r="L41" s="37">
        <f>IF(D41="Alternativa","",J41-N(K41))</f>
        <v/>
      </c>
      <c r="M41" s="39" t="inlineStr">
        <is>
          <t>Pendiente de cotizar · antes estaba dentro del estimado global de US$8.689</t>
        </is>
      </c>
    </row>
    <row r="42" ht="42" customHeight="1">
      <c r="A42" s="42" t="inlineStr">
        <is>
          <t>Estimado global de merch del master (reemplazado)</t>
        </is>
      </c>
      <c r="B42" s="43" t="inlineStr">
        <is>
          <t>Varios</t>
        </is>
      </c>
      <c r="C42" s="44" t="inlineStr">
        <is>
          <t>La hoja Argentina del master tenia US$8.689 en un solo renglon por contratos, cheques, escarapelas, bolsas, camisetas, mapas, diplomas, placas y manillas. Queda en cero como costo porque las facturas reales de arriba lo reemplazan; se conserva el estimado para poder comparar contra el presupuesto original.</t>
        </is>
      </c>
      <c r="D42" s="42" t="inlineStr">
        <is>
          <t>Reemplazado</t>
        </is>
      </c>
      <c r="E42" s="43" t="inlineStr">
        <is>
          <t>USD</t>
        </is>
      </c>
      <c r="F42" s="45" t="n"/>
      <c r="G42" s="46" t="n"/>
      <c r="H42" s="47">
        <f>IF(F42="","",F42*(1+N(G42)))</f>
        <v/>
      </c>
      <c r="I42" s="48" t="n">
        <v>1</v>
      </c>
      <c r="J42" s="47">
        <f>IF(OR(D42="Bonificado",D42="Reemplazado"),0,N(I42)*IF(H42="",N(K42),IF(E42="USD",H42,H42/TABLERO!$C$4)))</f>
        <v/>
      </c>
      <c r="K42" s="45" t="n">
        <v>8689</v>
      </c>
      <c r="L42" s="47">
        <f>IF(D42="Alternativa","",J42-N(K42))</f>
        <v/>
      </c>
      <c r="M42" s="49" t="inlineStr">
        <is>
          <t>Hoja Argentina del master · reemplazado por las facturas 2601009 a 2601019</t>
        </is>
      </c>
    </row>
    <row r="43">
      <c r="A43" s="17" t="inlineStr">
        <is>
          <t>Subtotal Merch</t>
        </is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9">
        <f>SUMIF($D$32:$D$42,"&lt;&gt;Alternativa",$J$32:$J$42)</f>
        <v/>
      </c>
      <c r="K43" s="19">
        <f>SUM($K$32:$K$42)</f>
        <v/>
      </c>
      <c r="L43" s="19">
        <f>J43-K43</f>
        <v/>
      </c>
      <c r="M43" s="18" t="n"/>
    </row>
    <row r="44" ht="20" customHeight="1">
      <c r="A44" s="7" t="inlineStr">
        <is>
          <t>CATERING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 ht="42" customHeight="1">
      <c r="A45" s="9" t="inlineStr">
        <is>
          <t>Catering VIP, staff y equipo</t>
        </is>
      </c>
      <c r="B45" s="10" t="inlineStr">
        <is>
          <t>Grupo Ambient</t>
        </is>
      </c>
      <c r="C45" s="11" t="inlineStr">
        <is>
          <t>Número final por las dos propuestas juntas: 600 lunchbox para los VIP + desayuno, almuerzo y cena para 150 personas.</t>
        </is>
      </c>
      <c r="D45" s="9" t="inlineStr">
        <is>
          <t>Cerrado</t>
        </is>
      </c>
      <c r="E45" s="10" t="inlineStr">
        <is>
          <t>USD</t>
        </is>
      </c>
      <c r="F45" s="12" t="n">
        <v>14569</v>
      </c>
      <c r="G45" s="13" t="n"/>
      <c r="H45" s="14">
        <f>IF(F45="","",F45*(1+N(G45)))</f>
        <v/>
      </c>
      <c r="I45" s="15" t="n">
        <v>1</v>
      </c>
      <c r="J45" s="14">
        <f>IF(OR(D45="Bonificado",D45="Reemplazado"),0,N(I45)*IF(H45="",N(K45),IF(E45="USD",H45,H45/TABLERO!$C$4)))</f>
        <v/>
      </c>
      <c r="K45" s="12" t="n">
        <v>33820</v>
      </c>
      <c r="L45" s="14">
        <f>IF(D45="Alternativa","",J45-N(K45))</f>
        <v/>
      </c>
      <c r="M45" s="16" t="inlineStr">
        <is>
          <t>Cierre de Agustina con Grupo Ambient · reemplaza la estimación de $25.000.000</t>
        </is>
      </c>
    </row>
    <row r="46" ht="42" customHeight="1">
      <c r="A46" s="42" t="inlineStr">
        <is>
          <t>Food trucks</t>
        </is>
      </c>
      <c r="B46" s="43" t="inlineStr">
        <is>
          <t>Sin costo</t>
        </is>
      </c>
      <c r="C46" s="44" t="inlineStr">
        <is>
          <t>No los paga la producción.</t>
        </is>
      </c>
      <c r="D46" s="42" t="inlineStr">
        <is>
          <t>Bonificado</t>
        </is>
      </c>
      <c r="E46" s="43" t="inlineStr">
        <is>
          <t>USD</t>
        </is>
      </c>
      <c r="F46" s="45" t="n"/>
      <c r="G46" s="46" t="n"/>
      <c r="H46" s="47">
        <f>IF(F46="","",F46*(1+N(G46)))</f>
        <v/>
      </c>
      <c r="I46" s="48" t="n">
        <v>1</v>
      </c>
      <c r="J46" s="47">
        <f>IF(OR(D46="Bonificado",D46="Reemplazado"),0,N(I46)*IF(H46="",N(K46),IF(E46="USD",H46,H46/TABLERO!$C$4)))</f>
        <v/>
      </c>
      <c r="K46" s="45" t="n"/>
      <c r="L46" s="47">
        <f>IF(D46="Alternativa","",J46-N(K46))</f>
        <v/>
      </c>
      <c r="M46" s="49" t="inlineStr">
        <is>
          <t>Confirmado por Agustina</t>
        </is>
      </c>
    </row>
    <row r="47">
      <c r="A47" s="17" t="inlineStr">
        <is>
          <t>Subtotal Catering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9">
        <f>SUMIF($D$45:$D$46,"&lt;&gt;Alternativa",$J$45:$J$46)</f>
        <v/>
      </c>
      <c r="K47" s="19">
        <f>SUM($K$45:$K$46)</f>
        <v/>
      </c>
      <c r="L47" s="19">
        <f>J47-K47</f>
        <v/>
      </c>
      <c r="M47" s="18" t="n"/>
    </row>
    <row r="48" ht="20" customHeight="1">
      <c r="A48" s="7" t="inlineStr">
        <is>
          <t>PRODUCCIÓN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 ht="42" customHeight="1">
      <c r="A49" s="30" t="inlineStr">
        <is>
          <t>Unifilas</t>
        </is>
      </c>
      <c r="B49" s="31" t="inlineStr">
        <is>
          <t>A definir</t>
        </is>
      </c>
      <c r="C49" s="32" t="inlineStr">
        <is>
          <t>Estimado del sheet, sin cotización</t>
        </is>
      </c>
      <c r="D49" s="30" t="inlineStr">
        <is>
          <t>Sin cotizar</t>
        </is>
      </c>
      <c r="E49" s="31" t="inlineStr">
        <is>
          <t>USD</t>
        </is>
      </c>
      <c r="F49" s="38" t="n"/>
      <c r="G49" s="34" t="n"/>
      <c r="H49" s="37">
        <f>IF(F49="","",F49*(1+N(G49)))</f>
        <v/>
      </c>
      <c r="I49" s="36" t="n">
        <v>1</v>
      </c>
      <c r="J49" s="37">
        <f>IF(OR(D49="Bonificado",D49="Reemplazado"),0,N(I49)*IF(H49="",N(K49),IF(E49="USD",H49,H49/TABLERO!$C$4)))</f>
        <v/>
      </c>
      <c r="K49" s="38" t="n">
        <v>1200</v>
      </c>
      <c r="L49" s="37">
        <f>IF(D49="Alternativa","",J49-N(K49))</f>
        <v/>
      </c>
      <c r="M49" s="39" t="inlineStr">
        <is>
          <t>Hoja Argentina del master</t>
        </is>
      </c>
    </row>
    <row r="50" ht="42" customHeight="1">
      <c r="A50" s="42" t="inlineStr">
        <is>
          <t>Vallado (500 vallas)</t>
        </is>
      </c>
      <c r="B50" s="43" t="inlineStr">
        <is>
          <t>Bonificado por técnica</t>
        </is>
      </c>
      <c r="C50" s="44" t="inlineStr">
        <is>
          <t>Las 500 vallas las regala el proveedor de técnica. Estaban presupuestadas en US$1.250.</t>
        </is>
      </c>
      <c r="D50" s="42" t="inlineStr">
        <is>
          <t>Bonificado</t>
        </is>
      </c>
      <c r="E50" s="43" t="inlineStr">
        <is>
          <t>USD</t>
        </is>
      </c>
      <c r="F50" s="45" t="n"/>
      <c r="G50" s="46" t="n"/>
      <c r="H50" s="47">
        <f>IF(F50="","",F50*(1+N(G50)))</f>
        <v/>
      </c>
      <c r="I50" s="48" t="n">
        <v>1</v>
      </c>
      <c r="J50" s="47">
        <f>IF(OR(D50="Bonificado",D50="Reemplazado"),0,N(I50)*IF(H50="",N(K50),IF(E50="USD",H50,H50/TABLERO!$C$4)))</f>
        <v/>
      </c>
      <c r="K50" s="45" t="n">
        <v>1250</v>
      </c>
      <c r="L50" s="47">
        <f>IF(D50="Alternativa","",J50-N(K50))</f>
        <v/>
      </c>
      <c r="M50" s="49" t="inlineStr">
        <is>
          <t>Negociación de Agustina</t>
        </is>
      </c>
    </row>
    <row r="51" ht="42" customHeight="1">
      <c r="A51" s="30" t="inlineStr">
        <is>
          <t>DJ</t>
        </is>
      </c>
      <c r="B51" s="31" t="inlineStr">
        <is>
          <t>A definir</t>
        </is>
      </c>
      <c r="C51" s="32" t="inlineStr">
        <is>
          <t>Estimado del sheet</t>
        </is>
      </c>
      <c r="D51" s="30" t="inlineStr">
        <is>
          <t>Sin cotizar</t>
        </is>
      </c>
      <c r="E51" s="31" t="inlineStr">
        <is>
          <t>USD</t>
        </is>
      </c>
      <c r="F51" s="38" t="n"/>
      <c r="G51" s="34" t="n"/>
      <c r="H51" s="37">
        <f>IF(F51="","",F51*(1+N(G51)))</f>
        <v/>
      </c>
      <c r="I51" s="36" t="n">
        <v>1</v>
      </c>
      <c r="J51" s="37">
        <f>IF(OR(D51="Bonificado",D51="Reemplazado"),0,N(I51)*IF(H51="",N(K51),IF(E51="USD",H51,H51/TABLERO!$C$4)))</f>
        <v/>
      </c>
      <c r="K51" s="38" t="n">
        <v>500</v>
      </c>
      <c r="L51" s="37">
        <f>IF(D51="Alternativa","",J51-N(K51))</f>
        <v/>
      </c>
      <c r="M51" s="39" t="inlineStr">
        <is>
          <t>Hoja Argentina del master</t>
        </is>
      </c>
    </row>
    <row r="52" ht="42" customHeight="1">
      <c r="A52" s="30" t="inlineStr">
        <is>
          <t>Escoltas (2)</t>
        </is>
      </c>
      <c r="B52" s="31" t="inlineStr">
        <is>
          <t>A definir</t>
        </is>
      </c>
      <c r="C52" s="32" t="inlineStr">
        <is>
          <t>Estimado del sheet</t>
        </is>
      </c>
      <c r="D52" s="30" t="inlineStr">
        <is>
          <t>Sin cotizar</t>
        </is>
      </c>
      <c r="E52" s="31" t="inlineStr">
        <is>
          <t>USD</t>
        </is>
      </c>
      <c r="F52" s="38" t="n"/>
      <c r="G52" s="34" t="n"/>
      <c r="H52" s="37">
        <f>IF(F52="","",F52*(1+N(G52)))</f>
        <v/>
      </c>
      <c r="I52" s="36" t="n">
        <v>1</v>
      </c>
      <c r="J52" s="37">
        <f>IF(OR(D52="Bonificado",D52="Reemplazado"),0,N(I52)*IF(H52="",N(K52),IF(E52="USD",H52,H52/TABLERO!$C$4)))</f>
        <v/>
      </c>
      <c r="K52" s="38" t="n">
        <v>1000</v>
      </c>
      <c r="L52" s="37">
        <f>IF(D52="Alternativa","",J52-N(K52))</f>
        <v/>
      </c>
      <c r="M52" s="39" t="inlineStr">
        <is>
          <t>Hoja Argentina del master</t>
        </is>
      </c>
    </row>
    <row r="53" ht="42" customHeight="1">
      <c r="A53" s="30" t="inlineStr">
        <is>
          <t>Master Mind Hit</t>
        </is>
      </c>
      <c r="B53" s="31" t="inlineStr">
        <is>
          <t>A definir</t>
        </is>
      </c>
      <c r="C53" s="32" t="inlineStr">
        <is>
          <t>Sala adicional</t>
        </is>
      </c>
      <c r="D53" s="30" t="inlineStr">
        <is>
          <t>Sin cotizar</t>
        </is>
      </c>
      <c r="E53" s="31" t="inlineStr">
        <is>
          <t>USD</t>
        </is>
      </c>
      <c r="F53" s="38" t="n"/>
      <c r="G53" s="34" t="n"/>
      <c r="H53" s="37">
        <f>IF(F53="","",F53*(1+N(G53)))</f>
        <v/>
      </c>
      <c r="I53" s="36" t="n">
        <v>1</v>
      </c>
      <c r="J53" s="37">
        <f>IF(OR(D53="Bonificado",D53="Reemplazado"),0,N(I53)*IF(H53="",N(K53),IF(E53="USD",H53,H53/TABLERO!$C$4)))</f>
        <v/>
      </c>
      <c r="K53" s="38" t="n">
        <v>3000</v>
      </c>
      <c r="L53" s="37">
        <f>IF(D53="Alternativa","",J53-N(K53))</f>
        <v/>
      </c>
      <c r="M53" s="39" t="inlineStr">
        <is>
          <t>Hoja Argentina del master</t>
        </is>
      </c>
    </row>
    <row r="54" ht="42" customHeight="1">
      <c r="A54" s="30" t="inlineStr">
        <is>
          <t>Personal logístico</t>
        </is>
      </c>
      <c r="B54" s="31" t="inlineStr">
        <is>
          <t>A definir</t>
        </is>
      </c>
      <c r="C54" s="32" t="inlineStr">
        <is>
          <t>La hoja del master lo tiene en US$0</t>
        </is>
      </c>
      <c r="D54" s="30" t="inlineStr">
        <is>
          <t>Sin cotizar</t>
        </is>
      </c>
      <c r="E54" s="31" t="inlineStr">
        <is>
          <t>USD</t>
        </is>
      </c>
      <c r="F54" s="38" t="n"/>
      <c r="G54" s="34" t="n"/>
      <c r="H54" s="37">
        <f>IF(F54="","",F54*(1+N(G54)))</f>
        <v/>
      </c>
      <c r="I54" s="36" t="n">
        <v>1</v>
      </c>
      <c r="J54" s="37">
        <f>IF(OR(D54="Bonificado",D54="Reemplazado"),0,N(I54)*IF(H54="",N(K54),IF(E54="USD",H54,H54/TABLERO!$C$4)))</f>
        <v/>
      </c>
      <c r="K54" s="38" t="n"/>
      <c r="L54" s="37">
        <f>IF(D54="Alternativa","",J54-N(K54))</f>
        <v/>
      </c>
      <c r="M54" s="39" t="inlineStr">
        <is>
          <t>Hoja Argentina del master · valor en cero</t>
        </is>
      </c>
    </row>
    <row r="55" ht="42" customHeight="1">
      <c r="A55" s="9" t="inlineStr">
        <is>
          <t>Intercoms</t>
        </is>
      </c>
      <c r="B55" s="10" t="inlineStr">
        <is>
          <t>Proveedor a confirmar</t>
        </is>
      </c>
      <c r="C55" s="11" t="inlineStr">
        <is>
          <t>Ya comprados y pagados al 100%. El master los tenía en 2 cuotas al 24/08 y 23/09, sin abonar.</t>
        </is>
      </c>
      <c r="D55" s="9" t="inlineStr">
        <is>
          <t>Cerrado</t>
        </is>
      </c>
      <c r="E55" s="10" t="inlineStr">
        <is>
          <t>USD</t>
        </is>
      </c>
      <c r="F55" s="12" t="n">
        <v>560</v>
      </c>
      <c r="G55" s="13" t="n"/>
      <c r="H55" s="14">
        <f>IF(F55="","",F55*(1+N(G55)))</f>
        <v/>
      </c>
      <c r="I55" s="15" t="n">
        <v>1</v>
      </c>
      <c r="J55" s="14">
        <f>IF(OR(D55="Bonificado",D55="Reemplazado"),0,N(I55)*IF(H55="",N(K55),IF(E55="USD",H55,H55/TABLERO!$C$4)))</f>
        <v/>
      </c>
      <c r="K55" s="12" t="n"/>
      <c r="L55" s="14">
        <f>IF(D55="Alternativa","",J55-N(K55))</f>
        <v/>
      </c>
      <c r="M55" s="16" t="inlineStr">
        <is>
          <t>Confirmado por Agustina el 03/09</t>
        </is>
      </c>
    </row>
    <row r="56">
      <c r="A56" s="17" t="inlineStr">
        <is>
          <t>Subtotal Producción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9">
        <f>SUMIF($D$49:$D$55,"&lt;&gt;Alternativa",$J$49:$J$55)</f>
        <v/>
      </c>
      <c r="K56" s="19">
        <f>SUM($K$49:$K$55)</f>
        <v/>
      </c>
      <c r="L56" s="19">
        <f>J56-K56</f>
        <v/>
      </c>
      <c r="M56" s="18" t="n"/>
    </row>
    <row r="57" ht="20" customHeight="1">
      <c r="A57" s="7" t="inlineStr">
        <is>
          <t>EQUIPO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</row>
    <row r="58" ht="42" customHeight="1">
      <c r="A58" s="30" t="inlineStr">
        <is>
          <t>Vuelos del equipo</t>
        </is>
      </c>
      <c r="B58" s="31" t="inlineStr">
        <is>
          <t>Sin cotizar</t>
        </is>
      </c>
      <c r="C58" s="32" t="inlineStr">
        <is>
          <t>No hay ninguna cotización de vuelos a Buenos Aires en el correo ni monto en la hoja del master</t>
        </is>
      </c>
      <c r="D58" s="30" t="inlineStr">
        <is>
          <t>Sin cotizar</t>
        </is>
      </c>
      <c r="E58" s="31" t="inlineStr">
        <is>
          <t>USD</t>
        </is>
      </c>
      <c r="F58" s="38" t="n"/>
      <c r="G58" s="34" t="n"/>
      <c r="H58" s="37">
        <f>IF(F58="","",F58*(1+N(G58)))</f>
        <v/>
      </c>
      <c r="I58" s="36" t="n">
        <v>1</v>
      </c>
      <c r="J58" s="37">
        <f>IF(OR(D58="Bonificado",D58="Reemplazado"),0,N(I58)*IF(H58="",N(K58),IF(E58="USD",H58,H58/TABLERO!$C$4)))</f>
        <v/>
      </c>
      <c r="K58" s="38" t="n"/>
      <c r="L58" s="37">
        <f>IF(D58="Alternativa","",J58-N(K58))</f>
        <v/>
      </c>
      <c r="M58" s="39" t="inlineStr">
        <is>
          <t>No encontrado</t>
        </is>
      </c>
    </row>
    <row r="59" ht="42" customHeight="1">
      <c r="A59" s="30" t="inlineStr">
        <is>
          <t>Alojamiento del equipo</t>
        </is>
      </c>
      <c r="B59" s="31" t="inlineStr">
        <is>
          <t>Sin cotizar</t>
        </is>
      </c>
      <c r="C59" s="32" t="inlineStr">
        <is>
          <t>No hay cotización de hotel en Buenos Aires en el correo ni monto en la hoja del master</t>
        </is>
      </c>
      <c r="D59" s="30" t="inlineStr">
        <is>
          <t>Sin cotizar</t>
        </is>
      </c>
      <c r="E59" s="31" t="inlineStr">
        <is>
          <t>USD</t>
        </is>
      </c>
      <c r="F59" s="38" t="n"/>
      <c r="G59" s="34" t="n"/>
      <c r="H59" s="37">
        <f>IF(F59="","",F59*(1+N(G59)))</f>
        <v/>
      </c>
      <c r="I59" s="36" t="n">
        <v>1</v>
      </c>
      <c r="J59" s="37">
        <f>IF(OR(D59="Bonificado",D59="Reemplazado"),0,N(I59)*IF(H59="",N(K59),IF(E59="USD",H59,H59/TABLERO!$C$4)))</f>
        <v/>
      </c>
      <c r="K59" s="38" t="n"/>
      <c r="L59" s="37">
        <f>IF(D59="Alternativa","",J59-N(K59))</f>
        <v/>
      </c>
      <c r="M59" s="39" t="inlineStr">
        <is>
          <t>No encontrado</t>
        </is>
      </c>
    </row>
    <row r="60" ht="42" customHeight="1">
      <c r="A60" s="30" t="inlineStr">
        <is>
          <t>Traslados internos y viáticos</t>
        </is>
      </c>
      <c r="B60" s="31" t="inlineStr">
        <is>
          <t>Sin cotizar</t>
        </is>
      </c>
      <c r="C60" s="32" t="inlineStr">
        <is>
          <t>Sin registro</t>
        </is>
      </c>
      <c r="D60" s="30" t="inlineStr">
        <is>
          <t>Sin cotizar</t>
        </is>
      </c>
      <c r="E60" s="31" t="inlineStr">
        <is>
          <t>USD</t>
        </is>
      </c>
      <c r="F60" s="38" t="n"/>
      <c r="G60" s="34" t="n"/>
      <c r="H60" s="37">
        <f>IF(F60="","",F60*(1+N(G60)))</f>
        <v/>
      </c>
      <c r="I60" s="36" t="n">
        <v>1</v>
      </c>
      <c r="J60" s="37">
        <f>IF(OR(D60="Bonificado",D60="Reemplazado"),0,N(I60)*IF(H60="",N(K60),IF(E60="USD",H60,H60/TABLERO!$C$4)))</f>
        <v/>
      </c>
      <c r="K60" s="38" t="n"/>
      <c r="L60" s="37">
        <f>IF(D60="Alternativa","",J60-N(K60))</f>
        <v/>
      </c>
      <c r="M60" s="39" t="inlineStr">
        <is>
          <t>No encontrado</t>
        </is>
      </c>
    </row>
    <row r="61">
      <c r="A61" s="17" t="inlineStr">
        <is>
          <t>Subtotal Equipo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9">
        <f>SUMIF($D$58:$D$60,"&lt;&gt;Alternativa",$J$58:$J$60)</f>
        <v/>
      </c>
      <c r="K61" s="19">
        <f>SUM($K$58:$K$60)</f>
        <v/>
      </c>
      <c r="L61" s="19">
        <f>J61-K61</f>
        <v/>
      </c>
      <c r="M61" s="18" t="n"/>
    </row>
    <row r="63">
      <c r="A63" s="52" t="inlineStr">
        <is>
          <t>COSTO TOTAL DEL EVENTO</t>
        </is>
      </c>
      <c r="J63" s="53">
        <f>J7+J10+J15+J21+J30+J43+J47+J56+J61</f>
        <v/>
      </c>
      <c r="K63" s="53">
        <f>K7+K10+K15+K21+K30+K43+K47+K56+K61</f>
        <v/>
      </c>
      <c r="L63" s="53">
        <f>L7+L10+L15+L21+L30+L43+L47+L56+L61</f>
        <v/>
      </c>
    </row>
  </sheetData>
  <autoFilter ref="A4:M4"/>
  <mergeCells count="9">
    <mergeCell ref="A44:M44"/>
    <mergeCell ref="A5:M5"/>
    <mergeCell ref="A8:M8"/>
    <mergeCell ref="A31:M31"/>
    <mergeCell ref="A22:M22"/>
    <mergeCell ref="A48:M48"/>
    <mergeCell ref="A57:M57"/>
    <mergeCell ref="A16:M16"/>
    <mergeCell ref="A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76" customWidth="1" min="5" max="5"/>
  </cols>
  <sheetData>
    <row r="1">
      <c r="A1" s="1" t="inlineStr">
        <is>
          <t>Argentina en una pantalla</t>
        </is>
      </c>
    </row>
    <row r="2">
      <c r="A2" s="2" t="inlineStr">
        <is>
          <t>La Rural · Pabellón Azul · 3 y 4 de octubre de 2026</t>
        </is>
      </c>
    </row>
    <row r="4">
      <c r="A4" s="3" t="inlineStr">
        <is>
          <t>Tipo de cambio (ARS por USD)</t>
        </is>
      </c>
      <c r="C4" s="54" t="n">
        <v>1510</v>
      </c>
      <c r="E4" s="2" t="inlineStr">
        <is>
          <t>Dólar con el que trabaja Agustina. Verificado contra dos de sus cifras: $900.000 de montaje = US$596 y $24.500.000 de entelado = US$16.225. Editá esta celda y se recalcula todo el libro.</t>
        </is>
      </c>
    </row>
    <row r="6">
      <c r="A6" s="55" t="inlineStr">
        <is>
          <t>COSTO DEL EVENTO</t>
        </is>
      </c>
    </row>
    <row r="7">
      <c r="A7" s="5" t="inlineStr">
        <is>
          <t>Costo total (cotizaciones reales + estimados)</t>
        </is>
      </c>
      <c r="C7" s="56">
        <f>'COSTOS UNIFICADOS'!J63</f>
        <v/>
      </c>
      <c r="E7" s="2" t="inlineStr">
        <is>
          <t>Suma de contratado, cotizado y lo que sólo tiene estimado. No incluye las alternativas descartadas.</t>
        </is>
      </c>
    </row>
    <row r="8">
      <c r="A8" s="5" t="inlineStr">
        <is>
          <t>Lo que decía el presupuesto original</t>
        </is>
      </c>
      <c r="C8" s="56">
        <f>'COSTOS UNIFICADOS'!K63</f>
        <v/>
      </c>
      <c r="E8" s="2" t="inlineStr">
        <is>
          <t>Total de la hoja "Argentina (3 oct-4 oct)" del master: US$176.159.</t>
        </is>
      </c>
    </row>
    <row r="9">
      <c r="A9" s="5" t="inlineStr">
        <is>
          <t>Diferencia contra el presupuesto</t>
        </is>
      </c>
      <c r="C9" s="57">
        <f>'COSTOS UNIFICADOS'!L63</f>
        <v/>
      </c>
      <c r="E9" s="2" t="inlineStr">
        <is>
          <t>Cuánto se corre el evento respecto de lo presupuestado, con los precios que hoy están sobre la mesa.</t>
        </is>
      </c>
    </row>
    <row r="11">
      <c r="A11" s="55" t="inlineStr">
        <is>
          <t>COSTO POR PERSONA</t>
        </is>
      </c>
    </row>
    <row r="12">
      <c r="A12" s="58" t="inlineStr">
        <is>
          <t>Base de cálculo</t>
        </is>
      </c>
      <c r="B12" s="58" t="inlineStr">
        <is>
          <t>Personas</t>
        </is>
      </c>
      <c r="C12" s="58" t="inlineStr">
        <is>
          <t>Costo por persona</t>
        </is>
      </c>
      <c r="E12" s="58" t="inlineStr">
        <is>
          <t>Qué incluye</t>
        </is>
      </c>
    </row>
    <row r="13">
      <c r="A13" s="59" t="inlineStr">
        <is>
          <t>Aforo general</t>
        </is>
      </c>
      <c r="B13" s="60" t="n">
        <v>5000</v>
      </c>
      <c r="C13" s="61">
        <f>IFERROR($C$7/B13,"")</f>
        <v/>
      </c>
      <c r="E13" s="2" t="inlineStr">
        <is>
          <t>Asistentes de entrada general según la hoja del master.</t>
        </is>
      </c>
    </row>
    <row r="14">
      <c r="A14" s="59" t="inlineStr">
        <is>
          <t>VIP</t>
        </is>
      </c>
      <c r="B14" s="60" t="n">
        <v>1000</v>
      </c>
      <c r="C14" s="61">
        <f>IFERROR($C$7/B14,"")</f>
        <v/>
      </c>
      <c r="E14" s="2" t="inlineStr">
        <is>
          <t>Asistentes VIP.</t>
        </is>
      </c>
    </row>
    <row r="15">
      <c r="A15" s="59" t="inlineStr">
        <is>
          <t>Asistentes pagos (general + VIP)</t>
        </is>
      </c>
      <c r="B15" s="60" t="n">
        <v>6000</v>
      </c>
      <c r="C15" s="61">
        <f>IFERROR($C$7/B15,"")</f>
        <v/>
      </c>
      <c r="E15" s="2" t="inlineStr">
        <is>
          <t>La base más útil para decidir el precio de la entrada.</t>
        </is>
      </c>
    </row>
    <row r="16">
      <c r="A16" s="59" t="inlineStr">
        <is>
          <t>Mastermind del martes</t>
        </is>
      </c>
      <c r="B16" s="60" t="n">
        <v>246</v>
      </c>
      <c r="C16" s="61">
        <f>IFERROR($C$7/B16,"")</f>
        <v/>
      </c>
      <c r="E16" s="2" t="inlineStr">
        <is>
          <t>Actividad aparte, no comparte la mayoría de los costos.</t>
        </is>
      </c>
    </row>
    <row r="17">
      <c r="A17" s="59" t="inlineStr">
        <is>
          <t>Total de personas en el predio</t>
        </is>
      </c>
      <c r="B17" s="60" t="n">
        <v>6108</v>
      </c>
      <c r="C17" s="61">
        <f>IFERROR($C$7/B17,"")</f>
        <v/>
      </c>
      <c r="E17" s="2" t="inlineStr">
        <is>
          <t>Asistentes pagos + 100 de staff + 8 del equipo interno.</t>
        </is>
      </c>
    </row>
    <row r="18">
      <c r="A18" s="2" t="inlineStr">
        <is>
          <t>Las bases en amarillo son editables: cambiá el aforo y el costo por cabeza se recalcula.</t>
        </is>
      </c>
    </row>
    <row r="20">
      <c r="A20" s="55" t="inlineStr">
        <is>
          <t>ESTADO DE LOS RUBROS</t>
        </is>
      </c>
    </row>
    <row r="21">
      <c r="A21" s="5" t="inlineStr">
        <is>
          <t>Contratado (hay contrato o anticipo)</t>
        </is>
      </c>
      <c r="C21" s="62">
        <f>SUMIF('COSTOS UNIFICADOS'!$D:$D,"Contratado",'COSTOS UNIFICADOS'!$J:$J)</f>
        <v/>
      </c>
      <c r="E21" s="2" t="inlineStr">
        <is>
          <t>Sede, las nueve facturas de merch e intercoms.</t>
        </is>
      </c>
    </row>
    <row r="22">
      <c r="A22" s="5" t="inlineStr">
        <is>
          <t>Cotizado (hay presupuesto formal)</t>
        </is>
      </c>
      <c r="C22" s="56">
        <f>SUMIF('COSTOS UNIFICADOS'!$D:$D,"Cotizado",'COSTOS UNIFICADOS'!$J:$J)</f>
        <v/>
      </c>
      <c r="E22" s="2" t="inlineStr">
        <is>
          <t>Sillas, WiFi, seguridad, servicio médico, limpieza, retiro de residuos y seguro.</t>
        </is>
      </c>
    </row>
    <row r="23">
      <c r="A23" s="5" t="inlineStr">
        <is>
          <t>Sin cotizar (sólo estimado o nada)</t>
        </is>
      </c>
      <c r="C23" s="63">
        <f>SUMIF('COSTOS UNIFICADOS'!$D:$D,"Sin cotizar",'COSTOS UNIFICADOS'!$J:$J)</f>
        <v/>
      </c>
      <c r="E23" s="2" t="inlineStr">
        <is>
          <t>Vuelos, alojamiento, ecobaños, marquetería, replanteo, unifilas, DJ, escoltas, Master Mind, personal logístico.</t>
        </is>
      </c>
    </row>
    <row r="24">
      <c r="A24" s="2" t="inlineStr">
        <is>
          <t>Alternativas descartadas (no suman)</t>
        </is>
      </c>
      <c r="C24" s="64">
        <f>SUMIF('COSTOS UNIFICADOS'!$D:$D,"Alternativa",'COSTOS UNIFICADOS'!$J:$J)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8" customWidth="1" min="3" max="3"/>
    <col width="20" customWidth="1" min="4" max="4"/>
    <col width="15" customWidth="1" min="5" max="5"/>
    <col width="15" customWidth="1" min="6" max="6"/>
    <col width="7" customWidth="1" min="7" max="7"/>
    <col width="15" customWidth="1" min="8" max="8"/>
    <col width="15" customWidth="1" min="9" max="9"/>
    <col width="18" customWidth="1" min="10" max="10"/>
    <col width="11" customWidth="1" min="11" max="11"/>
    <col width="15" customWidth="1" min="12" max="12"/>
    <col width="15" customWidth="1" min="13" max="13"/>
    <col width="15" customWidth="1" min="14" max="14"/>
    <col width="62" customWidth="1" min="15" max="15"/>
  </cols>
  <sheetData>
    <row r="1">
      <c r="A1" s="1" t="inlineStr">
        <is>
          <t>Todo el merch, factura por factura</t>
        </is>
      </c>
    </row>
    <row r="2">
      <c r="A2" s="2" t="inlineStr">
        <is>
          <t>Carpeta de Drive "Presupuestos merch" · facturas 2601009 a 2601019 · emisor IIDAI LLC. Los proveedores son argentinos, no colombianos.</t>
        </is>
      </c>
    </row>
    <row r="4">
      <c r="A4" s="6" t="inlineStr">
        <is>
          <t>Proveedor</t>
        </is>
      </c>
      <c r="B4" s="6" t="inlineStr">
        <is>
          <t>Ítem</t>
        </is>
      </c>
      <c r="C4" s="6" t="inlineStr">
        <is>
          <t>Cant.</t>
        </is>
      </c>
      <c r="D4" s="6" t="inlineStr">
        <is>
          <t>Factura</t>
        </is>
      </c>
      <c r="E4" s="6" t="inlineStr">
        <is>
          <t>Fecha</t>
        </is>
      </c>
      <c r="F4" s="6" t="inlineStr">
        <is>
          <t>Neto (ARS)</t>
        </is>
      </c>
      <c r="G4" s="6" t="inlineStr">
        <is>
          <t>IVA</t>
        </is>
      </c>
      <c r="H4" s="6" t="inlineStr">
        <is>
          <t>Total (ARS)</t>
        </is>
      </c>
      <c r="I4" s="6" t="inlineStr">
        <is>
          <t>USDT de la factura</t>
        </is>
      </c>
      <c r="J4" s="6" t="inlineStr">
        <is>
          <t>País</t>
        </is>
      </c>
      <c r="K4" s="6" t="inlineStr">
        <is>
          <t>% Argentina</t>
        </is>
      </c>
      <c r="L4" s="6" t="inlineStr">
        <is>
          <t>Costo Argentina (USD)</t>
        </is>
      </c>
      <c r="M4" s="6" t="inlineStr">
        <is>
          <t>Falta pagar · regla 50%</t>
        </is>
      </c>
      <c r="N4" s="6" t="inlineStr">
        <is>
          <t>Falta pagar · según factura</t>
        </is>
      </c>
      <c r="O4" s="6" t="inlineStr">
        <is>
          <t>Nota</t>
        </is>
      </c>
    </row>
    <row r="5" ht="46" customHeight="1">
      <c r="A5" s="30" t="inlineStr">
        <is>
          <t>REMERASYESTAMPADOS</t>
        </is>
      </c>
      <c r="B5" s="32" t="inlineStr">
        <is>
          <t>Pañuelos / pañoletas estampados</t>
        </is>
      </c>
      <c r="C5" s="32" t="inlineStr">
        <is>
          <t>8.500</t>
        </is>
      </c>
      <c r="D5" s="31" t="inlineStr">
        <is>
          <t>2601012 → saldo 2601019</t>
        </is>
      </c>
      <c r="E5" s="31" t="inlineStr">
        <is>
          <t>20/06 → 16/08</t>
        </is>
      </c>
      <c r="F5" s="33" t="n">
        <v>13387500</v>
      </c>
      <c r="G5" s="34" t="n">
        <v>0.21</v>
      </c>
      <c r="H5" s="35">
        <f>F5*(1+N(G5))</f>
        <v/>
      </c>
      <c r="I5" s="38" t="n">
        <v>5276.51</v>
      </c>
      <c r="J5" s="32" t="inlineStr">
        <is>
          <t>Argentina + Uruguay</t>
        </is>
      </c>
      <c r="K5" s="34" t="n">
        <v>0.65</v>
      </c>
      <c r="L5" s="65">
        <f>K5*H5/TABLERO!$C$4</f>
        <v/>
      </c>
      <c r="M5" s="37">
        <f>K5*5276.51</f>
        <v/>
      </c>
      <c r="N5" s="37">
        <f>K5*5276.51</f>
        <v/>
      </c>
      <c r="O5" s="39" t="inlineStr">
        <is>
          <t>La 2601019 ya viene emitida por el 50% restante. Falta definir con Uruguay como se reparte: aca se imputa el 65% a Argentina.</t>
        </is>
      </c>
    </row>
    <row r="6" ht="46" customHeight="1">
      <c r="A6" s="66" t="inlineStr">
        <is>
          <t>REMERASYESTAMPADOS</t>
        </is>
      </c>
      <c r="B6" s="67" t="inlineStr">
        <is>
          <t>Remeras premium estampadas</t>
        </is>
      </c>
      <c r="C6" s="67" t="inlineStr">
        <is>
          <t>250</t>
        </is>
      </c>
      <c r="D6" s="68" t="inlineStr">
        <is>
          <t>2601017</t>
        </is>
      </c>
      <c r="E6" s="68" t="inlineStr">
        <is>
          <t>16/08</t>
        </is>
      </c>
      <c r="F6" s="69" t="n">
        <v>3527500</v>
      </c>
      <c r="G6" s="70" t="n">
        <v>0.21</v>
      </c>
      <c r="H6" s="71">
        <f>F6*(1+N(G6))</f>
        <v/>
      </c>
      <c r="I6" s="72" t="n">
        <v>2780.64</v>
      </c>
      <c r="J6" s="67" t="inlineStr">
        <is>
          <t>Argentina</t>
        </is>
      </c>
      <c r="K6" s="70" t="n">
        <v>1</v>
      </c>
      <c r="L6" s="73">
        <f>K6*H6/TABLERO!$C$4</f>
        <v/>
      </c>
      <c r="M6" s="74">
        <f>K6*2780.64</f>
        <v/>
      </c>
      <c r="N6" s="74">
        <f>K6*2780.64</f>
        <v/>
      </c>
      <c r="O6" s="75" t="inlineStr">
        <is>
          <t>Se debe el 100%. Sube de 230 a 250 unidades contra la factura original 2601011, al mismo precio unitario de $14.110.</t>
        </is>
      </c>
    </row>
    <row r="7" ht="46" customHeight="1">
      <c r="A7" s="66" t="inlineStr">
        <is>
          <t>REMERASYESTAMPADOS</t>
        </is>
      </c>
      <c r="B7" s="67" t="inlineStr">
        <is>
          <t>Bordado computarizado en gorras</t>
        </is>
      </c>
      <c r="C7" s="67" t="inlineStr">
        <is>
          <t>940</t>
        </is>
      </c>
      <c r="D7" s="68" t="inlineStr">
        <is>
          <t>2601016</t>
        </is>
      </c>
      <c r="E7" s="68" t="inlineStr">
        <is>
          <t>10/08</t>
        </is>
      </c>
      <c r="F7" s="69" t="n">
        <v>2643200</v>
      </c>
      <c r="G7" s="70" t="n"/>
      <c r="H7" s="71">
        <f>F7*(1+N(G7))</f>
        <v/>
      </c>
      <c r="I7" s="72" t="n">
        <v>1721.95</v>
      </c>
      <c r="J7" s="67" t="inlineStr">
        <is>
          <t>Argentina</t>
        </is>
      </c>
      <c r="K7" s="70" t="n">
        <v>1</v>
      </c>
      <c r="L7" s="73">
        <f>K7*H7/TABLERO!$C$4</f>
        <v/>
      </c>
      <c r="M7" s="74">
        <f>K7*1721.95</f>
        <v/>
      </c>
      <c r="N7" s="74">
        <f>K7*1721.95</f>
        <v/>
      </c>
      <c r="O7" s="75" t="inlineStr">
        <is>
          <t>Se debe el 100%. Precio final sin IVA, con el descuento de $411.800 ya aplicado. Las gorras las provee el cliente.</t>
        </is>
      </c>
    </row>
    <row r="8" ht="46" customHeight="1">
      <c r="A8" s="9" t="inlineStr">
        <is>
          <t>TEXTIL RYU S.R.L.</t>
        </is>
      </c>
      <c r="B8" s="11" t="inlineStr">
        <is>
          <t>Gorra Flex unicolor/bicolor</t>
        </is>
      </c>
      <c r="C8" s="11" t="inlineStr">
        <is>
          <t>940</t>
        </is>
      </c>
      <c r="D8" s="10" t="inlineStr">
        <is>
          <t>2601009</t>
        </is>
      </c>
      <c r="E8" s="10" t="inlineStr">
        <is>
          <t>20/06</t>
        </is>
      </c>
      <c r="F8" s="40" t="n">
        <v>2224980</v>
      </c>
      <c r="G8" s="13" t="n">
        <v>0.21</v>
      </c>
      <c r="H8" s="41">
        <f>F8*(1+N(G8))</f>
        <v/>
      </c>
      <c r="I8" s="12" t="n"/>
      <c r="J8" s="11" t="inlineStr">
        <is>
          <t>Argentina</t>
        </is>
      </c>
      <c r="K8" s="13" t="n">
        <v>1</v>
      </c>
      <c r="L8" s="76">
        <f>K8*H8/TABLERO!$C$4</f>
        <v/>
      </c>
      <c r="M8" s="14">
        <f>K8*0.0</f>
        <v/>
      </c>
      <c r="N8" s="14">
        <f>K8*0.0</f>
        <v/>
      </c>
      <c r="O8" s="16" t="inlineStr">
        <is>
          <t>Pagada al 100% el 25/06. Es la compra de la gorra, distinta del bordado.</t>
        </is>
      </c>
    </row>
    <row r="9" ht="46" customHeight="1">
      <c r="A9" s="30" t="inlineStr">
        <is>
          <t>LEOTEX</t>
        </is>
      </c>
      <c r="B9" s="32" t="inlineStr">
        <is>
          <t>Lanyard premium doble raso 25 mm</t>
        </is>
      </c>
      <c r="C9" s="32" t="inlineStr">
        <is>
          <t>1.360</t>
        </is>
      </c>
      <c r="D9" s="31" t="inlineStr">
        <is>
          <t>2601013 → 2601018</t>
        </is>
      </c>
      <c r="E9" s="31" t="inlineStr">
        <is>
          <t>20/06 → 16/08</t>
        </is>
      </c>
      <c r="F9" s="33" t="n">
        <v>2070600</v>
      </c>
      <c r="G9" s="34" t="n">
        <v>0.21</v>
      </c>
      <c r="H9" s="35">
        <f>F9*(1+N(G9))</f>
        <v/>
      </c>
      <c r="I9" s="38" t="n">
        <v>1632.2</v>
      </c>
      <c r="J9" s="32" t="inlineStr">
        <is>
          <t>Argentina</t>
        </is>
      </c>
      <c r="K9" s="34" t="n">
        <v>1</v>
      </c>
      <c r="L9" s="65">
        <f>K9*H9/TABLERO!$C$4</f>
        <v/>
      </c>
      <c r="M9" s="37">
        <f>K9*816.1</f>
        <v/>
      </c>
      <c r="N9" s="37">
        <f>K9*1632.2</f>
        <v/>
      </c>
      <c r="O9" s="39" t="inlineStr">
        <is>
          <t>A CONFIRMAR: la carpeta se llama "Nuevo pago - 50%" pero la factura 2601018 viene por el total, igual que la original. El master registraba un saldo de US$850.</t>
        </is>
      </c>
    </row>
    <row r="10" ht="46" customHeight="1">
      <c r="A10" s="30" t="inlineStr">
        <is>
          <t>DERQUI IMPRESIONES</t>
        </is>
      </c>
      <c r="B10" s="32" t="inlineStr">
        <is>
          <t>Grafica oficial CMC — Argentina</t>
        </is>
      </c>
      <c r="C10" s="32" t="inlineStr">
        <is>
          <t>—</t>
        </is>
      </c>
      <c r="D10" s="31" t="inlineStr">
        <is>
          <t>2601014</t>
        </is>
      </c>
      <c r="E10" s="31" t="inlineStr">
        <is>
          <t>20/06 → 16/08</t>
        </is>
      </c>
      <c r="F10" s="33" t="n">
        <v>3025260</v>
      </c>
      <c r="G10" s="34" t="n">
        <v>0.21</v>
      </c>
      <c r="H10" s="35">
        <f>F10*(1+N(G10))</f>
        <v/>
      </c>
      <c r="I10" s="38" t="n">
        <v>2384.73</v>
      </c>
      <c r="J10" s="32" t="inlineStr">
        <is>
          <t>Argentina</t>
        </is>
      </c>
      <c r="K10" s="34" t="n">
        <v>1</v>
      </c>
      <c r="L10" s="65">
        <f>K10*H10/TABLERO!$C$4</f>
        <v/>
      </c>
      <c r="M10" s="37">
        <f>K10*1192.37</f>
        <v/>
      </c>
      <c r="N10" s="37">
        <f>K10*2384.73</f>
        <v/>
      </c>
      <c r="O10" s="39" t="inlineStr">
        <is>
          <t>A CONFIRMAR: la reemision del 16/08 viene por el total. El master registraba un saldo de US$1.839 al 13/09.</t>
        </is>
      </c>
    </row>
    <row r="11" ht="46" customHeight="1">
      <c r="A11" s="42" t="inlineStr">
        <is>
          <t>DERQUI IMPRESIONES</t>
        </is>
      </c>
      <c r="B11" s="44" t="inlineStr">
        <is>
          <t>Grafica oficial CMC — Uruguay</t>
        </is>
      </c>
      <c r="C11" s="44" t="inlineStr">
        <is>
          <t>—</t>
        </is>
      </c>
      <c r="D11" s="43" t="inlineStr">
        <is>
          <t>2601015</t>
        </is>
      </c>
      <c r="E11" s="43" t="inlineStr">
        <is>
          <t>20/06 → 16/08</t>
        </is>
      </c>
      <c r="F11" s="50" t="n">
        <v>1564626</v>
      </c>
      <c r="G11" s="46" t="n">
        <v>0.21</v>
      </c>
      <c r="H11" s="51">
        <f>F11*(1+N(G11))</f>
        <v/>
      </c>
      <c r="I11" s="45" t="n">
        <v>1233.35</v>
      </c>
      <c r="J11" s="44" t="inlineStr">
        <is>
          <t>Uruguay</t>
        </is>
      </c>
      <c r="K11" s="46" t="n">
        <v>0</v>
      </c>
      <c r="L11" s="77">
        <f>K11*H11/TABLERO!$C$4</f>
        <v/>
      </c>
      <c r="M11" s="47">
        <f>K11*616.68</f>
        <v/>
      </c>
      <c r="N11" s="47">
        <f>K11*1233.35</f>
        <v/>
      </c>
      <c r="O11" s="49" t="inlineStr">
        <is>
          <t>NO ES DE ARGENTINA. En la hoja PAGOS del master estaba cargada con pais = Argentina: es el monto que inflaba el total argentino.</t>
        </is>
      </c>
    </row>
    <row r="12" ht="46" customHeight="1">
      <c r="A12" s="42" t="inlineStr">
        <is>
          <t>Blocko</t>
        </is>
      </c>
      <c r="B12" s="44" t="inlineStr">
        <is>
          <t>Cintas portacredencial (alternativa descartada)</t>
        </is>
      </c>
      <c r="C12" s="44" t="inlineStr">
        <is>
          <t>1.300</t>
        </is>
      </c>
      <c r="D12" s="43" t="inlineStr">
        <is>
          <t>presupuesto 09/06</t>
        </is>
      </c>
      <c r="E12" s="43" t="inlineStr">
        <is>
          <t>09/06</t>
        </is>
      </c>
      <c r="F12" s="50" t="n">
        <v>1749800</v>
      </c>
      <c r="G12" s="46" t="n">
        <v>0.21</v>
      </c>
      <c r="H12" s="51">
        <f>F12*(1+N(G12))</f>
        <v/>
      </c>
      <c r="I12" s="45" t="n"/>
      <c r="J12" s="44" t="inlineStr">
        <is>
          <t>Argentina</t>
        </is>
      </c>
      <c r="K12" s="46" t="n">
        <v>0</v>
      </c>
      <c r="L12" s="77">
        <f>K12*H12/TABLERO!$C$4</f>
        <v/>
      </c>
      <c r="M12" s="47">
        <f>K12*0.0</f>
        <v/>
      </c>
      <c r="N12" s="47">
        <f>K12*0.0</f>
        <v/>
      </c>
      <c r="O12" s="49" t="inlineStr">
        <is>
          <t>Es el mismo item que los lanyards de LEOTEX, que ya esta contratado. Estaba sumando dos veces en la version anterior de esta planilla.</t>
        </is>
      </c>
    </row>
    <row r="13">
      <c r="B13" s="78" t="inlineStr">
        <is>
          <t>TOTAL IMPUTADO A ARGENTINA</t>
        </is>
      </c>
      <c r="L13" s="79">
        <f>SUM(L5:L12)</f>
        <v/>
      </c>
      <c r="M13" s="79">
        <f>SUM(M5:M12)</f>
        <v/>
      </c>
      <c r="N13" s="79">
        <f>SUM(N5:N12)</f>
        <v/>
      </c>
    </row>
    <row r="15">
      <c r="A15" s="80" t="inlineStr">
        <is>
          <t>CÓMO LEER LOS COLORES</t>
        </is>
      </c>
    </row>
    <row r="16">
      <c r="A16" s="81" t="inlineStr">
        <is>
          <t>Verde — pagado al 100%: la compra de las gorras de Textil Ryu.</t>
        </is>
      </c>
      <c r="B16" s="82" t="n"/>
      <c r="C16" s="82" t="n"/>
      <c r="D16" s="82" t="n"/>
      <c r="E16" s="82" t="n"/>
      <c r="F16" s="83" t="n"/>
    </row>
    <row r="17">
      <c r="A17" s="84" t="inlineStr">
        <is>
          <t>Amarillo — 50% abonado, queda el saldo: pañuelos, lanyards y gráfica de Argentina.</t>
        </is>
      </c>
      <c r="B17" s="82" t="n"/>
      <c r="C17" s="82" t="n"/>
      <c r="D17" s="82" t="n"/>
      <c r="E17" s="82" t="n"/>
      <c r="F17" s="83" t="n"/>
    </row>
    <row r="18">
      <c r="A18" s="85" t="inlineStr">
        <is>
          <t>Rojo — sin pagar nada, se debe el 100%: las remeras y el bordado de las gorras.</t>
        </is>
      </c>
      <c r="B18" s="82" t="n"/>
      <c r="C18" s="82" t="n"/>
      <c r="D18" s="82" t="n"/>
      <c r="E18" s="82" t="n"/>
      <c r="F18" s="83" t="n"/>
    </row>
    <row r="19">
      <c r="A19" s="86" t="inlineStr">
        <is>
          <t>Gris — no suma al costo de Argentina: la gráfica de Uruguay y la cotización descartada de Blocko.</t>
        </is>
      </c>
      <c r="B19" s="82" t="n"/>
      <c r="C19" s="82" t="n"/>
      <c r="D19" s="82" t="n"/>
      <c r="E19" s="82" t="n"/>
      <c r="F19" s="83" t="n"/>
    </row>
    <row r="21">
      <c r="A21" s="55" t="inlineStr">
        <is>
          <t>LO QUE IBA A COSTAR CONTRA LO QUE COSTÓ</t>
        </is>
      </c>
    </row>
    <row r="22">
      <c r="A22" s="2" t="inlineStr">
        <is>
          <t>Precios unitarios de merch.cmc2026.com al 06/07/2026, dólar $1.515. Compara el proveedor que traía Cumbre contra los proveedores argentinos que consiguió Agustina.</t>
        </is>
      </c>
    </row>
    <row r="23">
      <c r="A23" s="6" t="inlineStr">
        <is>
          <t>Producto</t>
        </is>
      </c>
      <c r="B23" s="6" t="inlineStr">
        <is>
          <t>Cant.</t>
        </is>
      </c>
      <c r="C23" s="6" t="inlineStr">
        <is>
          <t>Unitario Cumbre</t>
        </is>
      </c>
      <c r="D23" s="6" t="inlineStr">
        <is>
          <t>Total Cumbre</t>
        </is>
      </c>
      <c r="E23" s="6" t="inlineStr">
        <is>
          <t>Unitario Agustina</t>
        </is>
      </c>
      <c r="F23" s="6" t="inlineStr">
        <is>
          <t>Total Agustina</t>
        </is>
      </c>
      <c r="G23" s="6" t="inlineStr">
        <is>
          <t>Ahorro</t>
        </is>
      </c>
      <c r="H23" s="6" t="inlineStr">
        <is>
          <t>Ahorro %</t>
        </is>
      </c>
    </row>
    <row r="24">
      <c r="A24" s="87" t="inlineStr">
        <is>
          <t xml:space="preserve">  ARGENTINA</t>
        </is>
      </c>
      <c r="B24" s="88" t="n"/>
      <c r="C24" s="88" t="n"/>
      <c r="D24" s="88" t="n"/>
      <c r="E24" s="88" t="n"/>
      <c r="F24" s="88" t="n"/>
      <c r="G24" s="88" t="n"/>
      <c r="H24" s="88" t="n"/>
    </row>
    <row r="25">
      <c r="A25" s="89" t="inlineStr">
        <is>
          <t>Remeras estampadas</t>
        </is>
      </c>
      <c r="B25" s="59" t="inlineStr">
        <is>
          <t>100</t>
        </is>
      </c>
      <c r="C25" s="90" t="n">
        <v>16.17</v>
      </c>
      <c r="D25" s="90" t="n">
        <v>1617.16</v>
      </c>
      <c r="E25" s="90" t="n">
        <v>9.31</v>
      </c>
      <c r="F25" s="90" t="n">
        <v>931.35</v>
      </c>
      <c r="G25" s="91">
        <f>D25-F25</f>
        <v/>
      </c>
      <c r="H25" s="92">
        <f>G25/D25</f>
        <v/>
      </c>
    </row>
    <row r="26">
      <c r="A26" s="89" t="inlineStr">
        <is>
          <t>Gorras negras</t>
        </is>
      </c>
      <c r="B26" s="59" t="inlineStr">
        <is>
          <t>1.000</t>
        </is>
      </c>
      <c r="C26" s="90" t="n">
        <v>9.9</v>
      </c>
      <c r="D26" s="90" t="n">
        <v>9900.99</v>
      </c>
      <c r="E26" s="90" t="n">
        <v>1.64</v>
      </c>
      <c r="F26" s="90" t="n">
        <v>1636.96</v>
      </c>
      <c r="G26" s="91">
        <f>D26-F26</f>
        <v/>
      </c>
      <c r="H26" s="92">
        <f>G26/D26</f>
        <v/>
      </c>
    </row>
    <row r="27">
      <c r="A27" s="89" t="inlineStr">
        <is>
          <t>Cinta colgante / lanyard</t>
        </is>
      </c>
      <c r="B27" s="59" t="inlineStr">
        <is>
          <t>1.000</t>
        </is>
      </c>
      <c r="C27" s="90" t="n">
        <v>1.25</v>
      </c>
      <c r="D27" s="90" t="n">
        <v>1247.52</v>
      </c>
      <c r="E27" s="90" t="n">
        <v>1</v>
      </c>
      <c r="F27" s="90" t="n">
        <v>1004.95</v>
      </c>
      <c r="G27" s="91">
        <f>D27-F27</f>
        <v/>
      </c>
      <c r="H27" s="92">
        <f>G27/D27</f>
        <v/>
      </c>
    </row>
    <row r="28">
      <c r="A28" s="89" t="inlineStr">
        <is>
          <t>Credenciales 10 × 13 cm</t>
        </is>
      </c>
      <c r="B28" s="59" t="inlineStr">
        <is>
          <t>1.000</t>
        </is>
      </c>
      <c r="C28" s="90" t="n">
        <v>0.57</v>
      </c>
      <c r="D28" s="90" t="n">
        <v>574.65</v>
      </c>
      <c r="E28" s="90" t="n">
        <v>0.48</v>
      </c>
      <c r="F28" s="90" t="n">
        <v>475.06</v>
      </c>
      <c r="G28" s="91">
        <f>D28-F28</f>
        <v/>
      </c>
      <c r="H28" s="92">
        <f>G28/D28</f>
        <v/>
      </c>
    </row>
    <row r="29">
      <c r="A29" s="89" t="inlineStr">
        <is>
          <t>Hojas A4 (contrato)</t>
        </is>
      </c>
      <c r="B29" s="59" t="inlineStr">
        <is>
          <t>5.500</t>
        </is>
      </c>
      <c r="C29" s="90" t="n">
        <v>0.2</v>
      </c>
      <c r="D29" s="90" t="n">
        <v>1107.26</v>
      </c>
      <c r="E29" s="90" t="n">
        <v>0.05</v>
      </c>
      <c r="F29" s="90" t="n">
        <v>265.31</v>
      </c>
      <c r="G29" s="91">
        <f>D29-F29</f>
        <v/>
      </c>
      <c r="H29" s="92">
        <f>G29/D29</f>
        <v/>
      </c>
    </row>
    <row r="30">
      <c r="A30" s="89" t="inlineStr">
        <is>
          <t>Tarjetas 21,5 × 10 cm (cheque)</t>
        </is>
      </c>
      <c r="B30" s="59" t="inlineStr">
        <is>
          <t>5.500</t>
        </is>
      </c>
      <c r="C30" s="90" t="n">
        <v>0.12</v>
      </c>
      <c r="D30" s="90" t="n">
        <v>671.62</v>
      </c>
      <c r="E30" s="90" t="n">
        <v>0.02</v>
      </c>
      <c r="F30" s="90" t="n">
        <v>109.78</v>
      </c>
      <c r="G30" s="91">
        <f>D30-F30</f>
        <v/>
      </c>
      <c r="H30" s="92">
        <f>G30/D30</f>
        <v/>
      </c>
    </row>
    <row r="31">
      <c r="A31" s="89" t="inlineStr">
        <is>
          <t>Bolsas de friselina, 2 colores</t>
        </is>
      </c>
      <c r="B31" s="59" t="inlineStr">
        <is>
          <t>1.000</t>
        </is>
      </c>
      <c r="C31" s="90" t="n">
        <v>1.14</v>
      </c>
      <c r="D31" s="90" t="n">
        <v>1141.91</v>
      </c>
      <c r="E31" s="90" t="n">
        <v>0.64</v>
      </c>
      <c r="F31" s="90" t="n">
        <v>644.55</v>
      </c>
      <c r="G31" s="91">
        <f>D31-F31</f>
        <v/>
      </c>
      <c r="H31" s="92">
        <f>G31/D31</f>
        <v/>
      </c>
    </row>
    <row r="32">
      <c r="A32" s="93" t="inlineStr">
        <is>
          <t>Pulseras tyvek — fuera de la comparación</t>
        </is>
      </c>
      <c r="B32" s="86" t="inlineStr">
        <is>
          <t>5.500</t>
        </is>
      </c>
      <c r="C32" s="94" t="n">
        <v>0.1</v>
      </c>
      <c r="D32" s="94" t="n">
        <v>544.55</v>
      </c>
      <c r="E32" s="94" t="n"/>
      <c r="F32" s="94" t="n"/>
      <c r="G32" s="18" t="n"/>
      <c r="H32" s="18" t="n"/>
    </row>
    <row r="33">
      <c r="A33" s="89" t="inlineStr">
        <is>
          <t>Subtotal Argentina</t>
        </is>
      </c>
      <c r="B33" s="95" t="n"/>
      <c r="C33" s="95" t="n"/>
      <c r="D33" s="19">
        <f>SUMIF($F$25:$F$32,"&lt;&gt;",D25:D32)</f>
        <v/>
      </c>
      <c r="E33" s="95" t="n"/>
      <c r="F33" s="19">
        <f>SUMIF($F$25:$F$32,"&lt;&gt;",F25:F32)</f>
        <v/>
      </c>
      <c r="G33" s="19">
        <f>SUMIF($F$25:$F$32,"&lt;&gt;",G25:G32)</f>
        <v/>
      </c>
      <c r="H33" s="96">
        <f>IFERROR(G33/D33,"")</f>
        <v/>
      </c>
    </row>
    <row r="34">
      <c r="A34" s="87" t="inlineStr">
        <is>
          <t xml:space="preserve">  URUGUAY</t>
        </is>
      </c>
      <c r="B34" s="88" t="n"/>
      <c r="C34" s="88" t="n"/>
      <c r="D34" s="88" t="n"/>
      <c r="E34" s="88" t="n"/>
      <c r="F34" s="88" t="n"/>
      <c r="G34" s="88" t="n"/>
      <c r="H34" s="88" t="n"/>
    </row>
    <row r="35">
      <c r="A35" s="89" t="inlineStr">
        <is>
          <t>Mapas de niveles de consciencia</t>
        </is>
      </c>
      <c r="B35" s="59" t="inlineStr">
        <is>
          <t>3.000</t>
        </is>
      </c>
      <c r="C35" s="90" t="n">
        <v>0.254</v>
      </c>
      <c r="D35" s="90" t="n">
        <v>763</v>
      </c>
      <c r="E35" s="90" t="n">
        <v>0.089</v>
      </c>
      <c r="F35" s="90" t="n">
        <v>266.14</v>
      </c>
      <c r="G35" s="91">
        <f>D35-F35</f>
        <v/>
      </c>
      <c r="H35" s="92">
        <f>G35/D35</f>
        <v/>
      </c>
    </row>
    <row r="36">
      <c r="A36" s="89" t="inlineStr">
        <is>
          <t>Escarapelas / credenciales</t>
        </is>
      </c>
      <c r="B36" s="59" t="inlineStr">
        <is>
          <t>600</t>
        </is>
      </c>
      <c r="C36" s="90" t="n">
        <v>1.322</v>
      </c>
      <c r="D36" s="90" t="n">
        <v>793</v>
      </c>
      <c r="E36" s="90" t="n">
        <v>0.475</v>
      </c>
      <c r="F36" s="90" t="n">
        <v>285.03</v>
      </c>
      <c r="G36" s="91">
        <f>D36-F36</f>
        <v/>
      </c>
      <c r="H36" s="92">
        <f>G36/D36</f>
        <v/>
      </c>
    </row>
    <row r="37">
      <c r="A37" s="89" t="inlineStr">
        <is>
          <t>Contratos (hojas A4)</t>
        </is>
      </c>
      <c r="B37" s="59" t="inlineStr">
        <is>
          <t>3.000</t>
        </is>
      </c>
      <c r="C37" s="90" t="n">
        <v>0.153</v>
      </c>
      <c r="D37" s="90" t="n">
        <v>458</v>
      </c>
      <c r="E37" s="90" t="n">
        <v>0.048</v>
      </c>
      <c r="F37" s="90" t="n">
        <v>144.71</v>
      </c>
      <c r="G37" s="91">
        <f>D37-F37</f>
        <v/>
      </c>
      <c r="H37" s="92">
        <f>G37/D37</f>
        <v/>
      </c>
    </row>
    <row r="38">
      <c r="A38" s="89" t="inlineStr">
        <is>
          <t>Cheques (tarjetas)</t>
        </is>
      </c>
      <c r="B38" s="59" t="inlineStr">
        <is>
          <t>3.000</t>
        </is>
      </c>
      <c r="C38" s="90" t="n">
        <v>0.127</v>
      </c>
      <c r="D38" s="90" t="n">
        <v>382</v>
      </c>
      <c r="E38" s="90" t="n">
        <v>0.02</v>
      </c>
      <c r="F38" s="90" t="n">
        <v>59.88</v>
      </c>
      <c r="G38" s="91">
        <f>D38-F38</f>
        <v/>
      </c>
      <c r="H38" s="92">
        <f>G38/D38</f>
        <v/>
      </c>
    </row>
    <row r="39">
      <c r="A39" s="93" t="inlineStr">
        <is>
          <t>Cordones con mosquetón — fuera de la comparación</t>
        </is>
      </c>
      <c r="B39" s="86" t="inlineStr">
        <is>
          <t>600</t>
        </is>
      </c>
      <c r="C39" s="94" t="n">
        <v>1.5</v>
      </c>
      <c r="D39" s="94" t="n"/>
      <c r="E39" s="94" t="n"/>
      <c r="F39" s="94" t="n"/>
      <c r="G39" s="18" t="n"/>
      <c r="H39" s="18" t="n"/>
    </row>
    <row r="40">
      <c r="A40" s="89" t="inlineStr">
        <is>
          <t>Subtotal Uruguay</t>
        </is>
      </c>
      <c r="B40" s="95" t="n"/>
      <c r="C40" s="95" t="n"/>
      <c r="D40" s="19">
        <f>SUMIF($F$35:$F$39,"&lt;&gt;",D35:D39)</f>
        <v/>
      </c>
      <c r="E40" s="95" t="n"/>
      <c r="F40" s="19">
        <f>SUMIF($F$35:$F$39,"&lt;&gt;",F35:F39)</f>
        <v/>
      </c>
      <c r="G40" s="19">
        <f>SUMIF($F$35:$F$39,"&lt;&gt;",G35:G39)</f>
        <v/>
      </c>
      <c r="H40" s="96">
        <f>IFERROR(G40/D40,"")</f>
        <v/>
      </c>
    </row>
    <row r="41">
      <c r="A41" s="78" t="inlineStr">
        <is>
          <t>TOTAL DE LA CANASTA — ARGENTINA + URUGUAY</t>
        </is>
      </c>
      <c r="D41" s="79">
        <f>D33+D40</f>
        <v/>
      </c>
      <c r="F41" s="79">
        <f>F33+F40</f>
        <v/>
      </c>
      <c r="G41" s="79">
        <f>G33+G40</f>
        <v/>
      </c>
      <c r="H41" s="97">
        <f>G41/D41</f>
        <v/>
      </c>
    </row>
    <row r="43">
      <c r="A43" s="2" t="inlineStr">
        <is>
          <t>La gorra sola explica la mitad del ahorro: el proveedor de Cumbre la cobraba US$9,90 y Agustina la consiguió a US$1,64. Sobre 1.000 unidades son US$8.264.</t>
        </is>
      </c>
    </row>
    <row r="44">
      <c r="A44" s="2" t="inlineStr">
        <is>
          <t>Las pulseras tyvek quedan fuera de los dos lados de la cuenta porque no hay precio comparable del lado argentino.</t>
        </is>
      </c>
    </row>
    <row r="45">
      <c r="A45" s="2" t="inlineStr">
        <is>
          <t>OJO: esta canasta NO es el total del rubro merch. Los pañuelos (US$6.973) y el bordado de gorras (US$1.750) no entran en la comparación, y las cantidades</t>
        </is>
      </c>
    </row>
    <row r="46">
      <c r="A46" s="2" t="inlineStr">
        <is>
          <t>del sitio no son exactamente las de las facturas finales (remeras 100 contra 250, gorras 1.000 contra 940). Sirve para medir el ahorro por precio unitario,</t>
        </is>
      </c>
    </row>
    <row r="47">
      <c r="A47" s="2" t="inlineStr">
        <is>
          <t>no para reemplazar el costo del rubro, que sale de las nueve facturas de arriba.</t>
        </is>
      </c>
    </row>
    <row r="48">
      <c r="A48" s="2" t="inlineStr">
        <is>
          <t>Uruguay va con su propio subtotal: US$2.396,00 contra US$755,77, US$1.640,23 de ahorro. Es la misma negociación con los mismos proveedores, pero NO entra en el costo del evento de Argentina.</t>
        </is>
      </c>
    </row>
    <row r="49">
      <c r="A49" s="2" t="inlineStr">
        <is>
          <t>Los cordones con mosquetón de Uruguay quedan fuera de la cuenta por la misma razón que las pulseras tyvek: no hay precio comparable del lado argentino.</t>
        </is>
      </c>
    </row>
    <row r="50">
      <c r="A50" s="2" t="inlineStr">
        <is>
          <t>Sumando los dos países, la canasta pasa de US$18.657,12 a US$5.823,74: US$12.833,38 de ahorro, un 68,8%.</t>
        </is>
      </c>
    </row>
    <row r="52">
      <c r="A52" s="98" t="inlineStr">
        <is>
          <t>TRES COSAS QUE HAY QUE CONFIRMAR</t>
        </is>
      </c>
    </row>
    <row r="53" ht="30" customHeight="1">
      <c r="A53" s="4" t="inlineStr">
        <is>
          <t>1) Lanyards y gráfica de Argentina: las facturas reemitidas en agosto vienen por el TOTAL, pero la carpeta y el master dicen que ya se abonó el 50%. Si las facturas están bien, hay que pagar US$2.008 más de lo que sale por la regla del 50%. Una sola consulta a LEOTEX y a Derqui lo resuelve.</t>
        </is>
      </c>
    </row>
    <row r="54" ht="30" customHeight="1">
      <c r="A54" s="4" t="inlineStr">
        <is>
          <t>2) Pañuelos: son 8.500 unidades compartidas entre Argentina y Uruguay y la factura no las separa. Acá se imputó el 65% a Argentina (5.500 de 8.500, la misma proporción que la gráfica). Si van todos a Argentina, el costo sube US$3.755.</t>
        </is>
      </c>
    </row>
    <row r="55" ht="30" customHeight="1">
      <c r="A55" s="4" t="inlineStr">
        <is>
          <t>3) La gráfica de Uruguay (US$1.233) estaba cargada en el master como Argentina. Ya quedó fuera del costo argentino, pero conviene corregirla también en el master para que no se arrastre.</t>
        </is>
      </c>
    </row>
  </sheetData>
  <autoFilter ref="A4:O4"/>
  <mergeCells count="9">
    <mergeCell ref="A55:O55"/>
    <mergeCell ref="A16:F16"/>
    <mergeCell ref="A54:O54"/>
    <mergeCell ref="A19:F19"/>
    <mergeCell ref="A24:H24"/>
    <mergeCell ref="A17:F17"/>
    <mergeCell ref="A18:F18"/>
    <mergeCell ref="A53:O53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5" customWidth="1" min="3" max="3"/>
    <col width="14" customWidth="1" min="4" max="4"/>
    <col width="14" customWidth="1" min="5" max="5"/>
    <col width="58" customWidth="1" min="6" max="6"/>
  </cols>
  <sheetData>
    <row r="1">
      <c r="A1" s="1" t="inlineStr">
        <is>
          <t>Cuánto se pagó, cuánto falta y cuándo</t>
        </is>
      </c>
    </row>
    <row r="2">
      <c r="A2" s="2" t="inlineStr">
        <is>
          <t>Sólo lo que está documentado. Lo que no tiene fecha acordada va abajo, en el resto.</t>
        </is>
      </c>
    </row>
    <row r="4">
      <c r="A4" s="6" t="inlineStr">
        <is>
          <t>Bloque</t>
        </is>
      </c>
      <c r="B4" s="6" t="inlineStr">
        <is>
          <t>Concepto</t>
        </is>
      </c>
      <c r="C4" s="6" t="inlineStr">
        <is>
          <t>Fecha</t>
        </is>
      </c>
      <c r="D4" s="6" t="inlineStr">
        <is>
          <t>USD</t>
        </is>
      </c>
      <c r="E4" s="6" t="inlineStr">
        <is>
          <t>Estado</t>
        </is>
      </c>
      <c r="F4" s="6" t="inlineStr">
        <is>
          <t>De dónde sale</t>
        </is>
      </c>
    </row>
    <row r="5" ht="20" customHeight="1">
      <c r="A5" s="7" t="inlineStr">
        <is>
          <t>YA PAGADO</t>
        </is>
      </c>
      <c r="B5" s="8" t="n"/>
      <c r="C5" s="8" t="n"/>
      <c r="D5" s="8" t="n"/>
      <c r="E5" s="8" t="n"/>
      <c r="F5" s="8" t="n"/>
    </row>
    <row r="6">
      <c r="A6" s="99" t="inlineStr">
        <is>
          <t>Sede</t>
        </is>
      </c>
      <c r="B6" s="81" t="inlineStr">
        <is>
          <t>La Rural — anticipo del contrato</t>
        </is>
      </c>
      <c r="C6" s="100" t="inlineStr">
        <is>
          <t>27/04/2026</t>
        </is>
      </c>
      <c r="D6" s="91" t="n">
        <v>43446</v>
      </c>
      <c r="E6" s="81" t="inlineStr">
        <is>
          <t>Pagado</t>
        </is>
      </c>
      <c r="F6" s="99" t="inlineStr">
        <is>
          <t>Hoja PAGOS del master</t>
        </is>
      </c>
    </row>
    <row r="7">
      <c r="A7" s="99" t="inlineStr">
        <is>
          <t>Producción</t>
        </is>
      </c>
      <c r="B7" s="81" t="inlineStr">
        <is>
          <t>Intercoms — 100%</t>
        </is>
      </c>
      <c r="C7" s="100" t="inlineStr">
        <is>
          <t>ya comprados</t>
        </is>
      </c>
      <c r="D7" s="91" t="n">
        <v>560</v>
      </c>
      <c r="E7" s="81" t="inlineStr">
        <is>
          <t>Pagado</t>
        </is>
      </c>
      <c r="F7" s="99" t="inlineStr">
        <is>
          <t>Confirmado por Agustina el 03/09</t>
        </is>
      </c>
    </row>
    <row r="8">
      <c r="A8" s="99" t="inlineStr">
        <is>
          <t>Técnica</t>
        </is>
      </c>
      <c r="B8" s="81" t="inlineStr">
        <is>
          <t>Grupo MET — factura INV-11</t>
        </is>
      </c>
      <c r="C8" s="100" t="inlineStr">
        <is>
          <t>31/07/2026</t>
        </is>
      </c>
      <c r="D8" s="91" t="n">
        <v>5000</v>
      </c>
      <c r="E8" s="81" t="inlineStr">
        <is>
          <t>Pagado</t>
        </is>
      </c>
      <c r="F8" s="99" t="inlineStr">
        <is>
          <t>Recibo de Mercury del 31/07</t>
        </is>
      </c>
    </row>
    <row r="9">
      <c r="A9" s="99" t="inlineStr">
        <is>
          <t>Merch</t>
        </is>
      </c>
      <c r="B9" s="81" t="inlineStr">
        <is>
          <t>Pañuelos — 50% (parte Argentina)</t>
        </is>
      </c>
      <c r="C9" s="100" t="inlineStr">
        <is>
          <t>24/06/2026</t>
        </is>
      </c>
      <c r="D9" s="91" t="n">
        <v>3569.15</v>
      </c>
      <c r="E9" s="81" t="inlineStr">
        <is>
          <t>Pagado</t>
        </is>
      </c>
      <c r="F9" s="99" t="inlineStr">
        <is>
          <t>Master: 50% de US$10.982, imputado al 65%</t>
        </is>
      </c>
    </row>
    <row r="10">
      <c r="A10" s="99" t="inlineStr">
        <is>
          <t>Merch</t>
        </is>
      </c>
      <c r="B10" s="81" t="inlineStr">
        <is>
          <t>Gorras — 100%</t>
        </is>
      </c>
      <c r="C10" s="100" t="inlineStr">
        <is>
          <t>25/06/2026</t>
        </is>
      </c>
      <c r="D10" s="91" t="n">
        <v>1825</v>
      </c>
      <c r="E10" s="81" t="inlineStr">
        <is>
          <t>Pagado</t>
        </is>
      </c>
      <c r="F10" s="99" t="inlineStr">
        <is>
          <t>Factura 2601009 de Textil Ryu</t>
        </is>
      </c>
    </row>
    <row r="11">
      <c r="A11" s="99" t="inlineStr">
        <is>
          <t>Merch</t>
        </is>
      </c>
      <c r="B11" s="81" t="inlineStr">
        <is>
          <t>Lanyards — 50%</t>
        </is>
      </c>
      <c r="C11" s="100" t="inlineStr">
        <is>
          <t>25/06/2026</t>
        </is>
      </c>
      <c r="D11" s="91" t="n">
        <v>849</v>
      </c>
      <c r="E11" s="81" t="inlineStr">
        <is>
          <t>Pagado</t>
        </is>
      </c>
      <c r="F11" s="99" t="inlineStr">
        <is>
          <t>Hoja PAGOS del master</t>
        </is>
      </c>
    </row>
    <row r="12">
      <c r="A12" s="99" t="inlineStr">
        <is>
          <t>Merch</t>
        </is>
      </c>
      <c r="B12" s="81" t="inlineStr">
        <is>
          <t>Gráfica Argentina — anticipo</t>
        </is>
      </c>
      <c r="C12" s="100" t="inlineStr">
        <is>
          <t>25/06/2026</t>
        </is>
      </c>
      <c r="D12" s="91" t="n">
        <v>642</v>
      </c>
      <c r="E12" s="81" t="inlineStr">
        <is>
          <t>Pagado</t>
        </is>
      </c>
      <c r="F12" s="99" t="inlineStr">
        <is>
          <t>Master: total US$2.481, saldo US$1.839</t>
        </is>
      </c>
    </row>
    <row r="13">
      <c r="A13" s="18" t="n"/>
      <c r="B13" s="17" t="inlineStr">
        <is>
          <t>Pagado a hoy</t>
        </is>
      </c>
      <c r="C13" s="18" t="n"/>
      <c r="D13" s="19">
        <f>SUM(D6:D12)</f>
        <v/>
      </c>
      <c r="E13" s="18" t="n"/>
      <c r="F13" s="18" t="n"/>
    </row>
    <row r="15" ht="20" customHeight="1">
      <c r="A15" s="7" t="inlineStr">
        <is>
          <t>FALTA PAGAR · CON FECHA</t>
        </is>
      </c>
      <c r="B15" s="8" t="n"/>
      <c r="C15" s="8" t="n"/>
      <c r="D15" s="8" t="n"/>
      <c r="E15" s="8" t="n"/>
      <c r="F15" s="8" t="n"/>
    </row>
    <row r="16">
      <c r="A16" s="101" t="inlineStr">
        <is>
          <t>Sede</t>
        </is>
      </c>
      <c r="B16" s="85" t="inlineStr">
        <is>
          <t>La Rural — saldo, cuota 1 de 2</t>
        </is>
      </c>
      <c r="C16" s="102" t="inlineStr">
        <is>
          <t>24/08/2026</t>
        </is>
      </c>
      <c r="D16" s="103" t="n">
        <v>15777</v>
      </c>
      <c r="E16" s="104" t="inlineStr">
        <is>
          <t>VENCIDA</t>
        </is>
      </c>
      <c r="F16" s="101" t="inlineStr">
        <is>
          <t>Cronograma del master</t>
        </is>
      </c>
    </row>
    <row r="17">
      <c r="A17" s="101" t="inlineStr">
        <is>
          <t>Merch</t>
        </is>
      </c>
      <c r="B17" s="85" t="inlineStr">
        <is>
          <t>Remeras (250)</t>
        </is>
      </c>
      <c r="C17" s="102" t="inlineStr">
        <is>
          <t>ya facturado</t>
        </is>
      </c>
      <c r="D17" s="103" t="n">
        <v>2780.64</v>
      </c>
      <c r="E17" s="104" t="inlineStr">
        <is>
          <t>SIN PAGAR</t>
        </is>
      </c>
      <c r="F17" s="101" t="inlineStr">
        <is>
          <t>Factura 2601017 del 16/08 · NO figura en el master</t>
        </is>
      </c>
    </row>
    <row r="18">
      <c r="A18" s="101" t="inlineStr">
        <is>
          <t>Merch</t>
        </is>
      </c>
      <c r="B18" s="85" t="inlineStr">
        <is>
          <t>Bordado de gorras (940)</t>
        </is>
      </c>
      <c r="C18" s="102" t="inlineStr">
        <is>
          <t>ya facturado</t>
        </is>
      </c>
      <c r="D18" s="103" t="n">
        <v>1721.95</v>
      </c>
      <c r="E18" s="104" t="inlineStr">
        <is>
          <t>SIN PAGAR</t>
        </is>
      </c>
      <c r="F18" s="101" t="inlineStr">
        <is>
          <t>Factura 2601016 del 10/08 · NO figura en el master</t>
        </is>
      </c>
    </row>
    <row r="19">
      <c r="A19" s="105" t="inlineStr">
        <is>
          <t>Merch</t>
        </is>
      </c>
      <c r="B19" s="59" t="inlineStr">
        <is>
          <t>Pañuelos — saldo (parte Argentina)</t>
        </is>
      </c>
      <c r="C19" s="106" t="inlineStr">
        <is>
          <t>13/09/2026</t>
        </is>
      </c>
      <c r="D19" s="107" t="n">
        <v>3429.73</v>
      </c>
      <c r="E19" s="89" t="inlineStr">
        <is>
          <t>Programado</t>
        </is>
      </c>
      <c r="F19" s="105" t="inlineStr">
        <is>
          <t>Factura 2601019 · 65% de 5.276,51 USDT</t>
        </is>
      </c>
    </row>
    <row r="20">
      <c r="A20" s="105" t="inlineStr">
        <is>
          <t>Merch</t>
        </is>
      </c>
      <c r="B20" s="59" t="inlineStr">
        <is>
          <t>Gráfica Argentina — saldo</t>
        </is>
      </c>
      <c r="C20" s="106" t="inlineStr">
        <is>
          <t>13/09/2026</t>
        </is>
      </c>
      <c r="D20" s="107" t="n">
        <v>1192.37</v>
      </c>
      <c r="E20" s="89" t="inlineStr">
        <is>
          <t>Programado</t>
        </is>
      </c>
      <c r="F20" s="105" t="inlineStr">
        <is>
          <t>Master. La factura 2601014 viene por el total: a confirmar</t>
        </is>
      </c>
    </row>
    <row r="21">
      <c r="A21" s="105" t="inlineStr">
        <is>
          <t>Merch</t>
        </is>
      </c>
      <c r="B21" s="59" t="inlineStr">
        <is>
          <t>Lanyards — saldo</t>
        </is>
      </c>
      <c r="C21" s="106" t="inlineStr">
        <is>
          <t>13/09/2026</t>
        </is>
      </c>
      <c r="D21" s="107" t="n">
        <v>816.1</v>
      </c>
      <c r="E21" s="89" t="inlineStr">
        <is>
          <t>Programado</t>
        </is>
      </c>
      <c r="F21" s="105" t="inlineStr">
        <is>
          <t>Master. La factura 2601018 viene por el total: a confirmar</t>
        </is>
      </c>
    </row>
    <row r="22">
      <c r="A22" s="105" t="inlineStr">
        <is>
          <t>Sede</t>
        </is>
      </c>
      <c r="B22" s="59" t="inlineStr">
        <is>
          <t>La Rural — saldo, cuota 2 de 2</t>
        </is>
      </c>
      <c r="C22" s="106" t="inlineStr">
        <is>
          <t>23/09/2026</t>
        </is>
      </c>
      <c r="D22" s="107" t="n">
        <v>15777</v>
      </c>
      <c r="E22" s="89" t="inlineStr">
        <is>
          <t>Programado</t>
        </is>
      </c>
      <c r="F22" s="105" t="inlineStr">
        <is>
          <t>Cronograma del master</t>
        </is>
      </c>
    </row>
    <row r="23">
      <c r="A23" s="18" t="n"/>
      <c r="B23" s="17" t="inlineStr">
        <is>
          <t>Comprometido con fecha</t>
        </is>
      </c>
      <c r="C23" s="18" t="n"/>
      <c r="D23" s="19">
        <f>SUM(D16:D22)</f>
        <v/>
      </c>
      <c r="E23" s="18" t="n"/>
      <c r="F23" s="18" t="n"/>
    </row>
    <row r="24">
      <c r="B24" s="2" t="inlineStr">
        <is>
          <t>De eso, vencido o facturado sin pagar</t>
        </is>
      </c>
      <c r="D24" s="103">
        <f>SUMIF(E16:E22,"VENCIDA",D16:D22)+SUMIF(E16:E22,"SIN PAGAR",D16:D22)</f>
        <v/>
      </c>
    </row>
    <row r="26" ht="20" customHeight="1">
      <c r="A26" s="7" t="inlineStr">
        <is>
          <t>RESUMEN</t>
        </is>
      </c>
      <c r="B26" s="8" t="n"/>
      <c r="C26" s="8" t="n"/>
      <c r="D26" s="8" t="n"/>
      <c r="E26" s="8" t="n"/>
      <c r="F26" s="8" t="n"/>
    </row>
    <row r="27">
      <c r="B27" s="3" t="inlineStr">
        <is>
          <t>Costo total del evento</t>
        </is>
      </c>
      <c r="D27" s="108">
        <f>'COSTOS UNIFICADOS'!J63</f>
        <v/>
      </c>
    </row>
    <row r="28">
      <c r="B28" s="3" t="inlineStr">
        <is>
          <t>Ya pagado</t>
        </is>
      </c>
      <c r="D28" s="109">
        <f>D13</f>
        <v/>
      </c>
    </row>
    <row r="29">
      <c r="B29" s="3" t="inlineStr">
        <is>
          <t>Falta desembolsar</t>
        </is>
      </c>
      <c r="D29" s="110">
        <f>'COSTOS UNIFICADOS'!J63-D13</f>
        <v/>
      </c>
    </row>
    <row r="30">
      <c r="B30" s="5" t="inlineStr">
        <is>
          <t xml:space="preserve">   de eso, con fecha acordada</t>
        </is>
      </c>
      <c r="D30" s="111">
        <f>D23</f>
        <v/>
      </c>
    </row>
    <row r="31">
      <c r="B31" s="5" t="inlineStr">
        <is>
          <t xml:space="preserve">   de eso, todavía sin fecha</t>
        </is>
      </c>
      <c r="D31" s="111">
        <f>'COSTOS UNIFICADOS'!J63-D13-D23</f>
        <v/>
      </c>
    </row>
    <row r="33">
      <c r="B33" s="2" t="inlineStr">
        <is>
          <t>Las remeras y el bordado de gorras están facturados desde agosto y no figuran en el cronograma del master: son US$4.503 que hoy no están en ningún calendario.</t>
        </is>
      </c>
    </row>
    <row r="34">
      <c r="B34" s="2" t="inlineStr">
        <is>
          <t>El resto sin fecha son los rubros cerrados y cotizados que todavía no tienen forma de pago acordada: técnica, entelado, CCTV, catering, sillas y los servicios del predio.</t>
        </is>
      </c>
    </row>
    <row r="35">
      <c r="B35" s="2" t="inlineStr">
        <is>
          <t>Las facturas reemitidas de LEOTEX y Derqui vienen por el total aunque el master registra el 50% abonado. Acá se tomó la regla del 50%: si las facturas están bien, son US$2.008 más.</t>
        </is>
      </c>
    </row>
  </sheetData>
  <mergeCells count="3">
    <mergeCell ref="A26:F26"/>
    <mergeCell ref="A5:F5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5" customWidth="1" min="4" max="4"/>
    <col width="56" customWidth="1" min="5" max="5"/>
  </cols>
  <sheetData>
    <row r="1">
      <c r="A1" s="1" t="inlineStr">
        <is>
          <t>Decisiones abiertas que mueven el número</t>
        </is>
      </c>
    </row>
    <row r="2">
      <c r="A2" s="2" t="inlineStr">
        <is>
          <t>Cada fila cambia el costo total. Ordenadas por cuánto pesan.</t>
        </is>
      </c>
    </row>
    <row r="4">
      <c r="A4" s="6" t="inlineStr">
        <is>
          <t>Decisión</t>
        </is>
      </c>
      <c r="B4" s="6" t="inlineStr">
        <is>
          <t>Opción A</t>
        </is>
      </c>
      <c r="C4" s="6" t="inlineStr">
        <is>
          <t>Opción B</t>
        </is>
      </c>
      <c r="D4" s="6" t="inlineStr">
        <is>
          <t>Diferencia</t>
        </is>
      </c>
      <c r="E4" s="6" t="inlineStr">
        <is>
          <t>Qué hay que hacer</t>
        </is>
      </c>
    </row>
    <row r="5" ht="56" customHeight="1">
      <c r="A5" s="20" t="inlineStr">
        <is>
          <t>Infraestructura de La Rural</t>
        </is>
      </c>
      <c r="B5" s="22" t="inlineStr">
        <is>
          <t>Presupuesto completo: $66.494.708 (US$43.461), con las 5.000 sillas y todo el mobiliario</t>
        </is>
      </c>
      <c r="C5" s="22" t="inlineStr">
        <is>
          <t>Sólo panelería + dirección técnica + guardias: $16.858.366 (US$11.019). El mobiliario se compra aparte.</t>
        </is>
      </c>
      <c r="D5" s="37">
        <f>(66494708.2-16858366.2)/TABLERO!$C$4</f>
        <v/>
      </c>
      <c r="E5" s="22" t="inlineStr">
        <is>
          <t>Agustina marca ítem por ítem qué se queda. La hoja INFRAESTRUCTURA tiene las 28 líneas del presupuesto para filtrar.</t>
        </is>
      </c>
    </row>
    <row r="6" ht="56" customHeight="1">
      <c r="A6" s="20" t="inlineStr">
        <is>
          <t>Montaje de las sillas</t>
        </is>
      </c>
      <c r="B6" s="22" t="inlineStr">
        <is>
          <t>La Rural con las sillas incluidas y armadas</t>
        </is>
      </c>
      <c r="C6" s="22" t="inlineStr">
        <is>
          <t>FDL Eventos + montaje/acomodación/desmontaje negociado en $900.000</t>
        </is>
      </c>
      <c r="D6" s="27" t="n"/>
      <c r="E6" s="22" t="inlineStr">
        <is>
          <t>Con FDL a $31.218.000 más $900.000 de montaje son US$20.992 contra US$27.778 de La Rural. Cerrar el número del montaje y firmar.</t>
        </is>
      </c>
    </row>
    <row r="7" ht="56" customHeight="1">
      <c r="A7" s="20" t="inlineStr">
        <is>
          <t>Catering — cerrado</t>
        </is>
      </c>
      <c r="B7" s="22" t="inlineStr">
        <is>
          <t>Grupo Ambient: US$14.569 por las dos propuestas</t>
        </is>
      </c>
      <c r="C7" s="22" t="inlineStr">
        <is>
          <t>La planilla tenía US$33.820 estimados</t>
        </is>
      </c>
      <c r="D7" s="37">
        <f>14569-33820</f>
        <v/>
      </c>
      <c r="E7" s="22" t="inlineStr">
        <is>
          <t>Cerrado: 600 desayunos VIP (no 800) + comidas para 150 personas. US$19.251 por debajo de lo presupuestado. OJO: la factura 2601021 está calculada sobre 800 desayunos; pedirle a Ángeles que la reemita por 600 antes de pagar el anticipo.</t>
        </is>
      </c>
    </row>
    <row r="8" ht="56" customHeight="1">
      <c r="A8" s="20" t="inlineStr">
        <is>
          <t>Rubros nuevos sin cotizar</t>
        </is>
      </c>
      <c r="B8" s="22" t="inlineStr">
        <is>
          <t>Ecobaños, marquetería de certificaciones y premios, replanteo de sillas con ingeniero</t>
        </is>
      </c>
      <c r="C8" s="22" t="inlineStr">
        <is>
          <t>Hoy entran en US$0</t>
        </is>
      </c>
      <c r="D8" s="27" t="n"/>
      <c r="E8" s="22" t="inlineStr">
        <is>
          <t>Pedir las tres cotizaciones esta semana. Son los últimos huecos que quedan además de vuelos y alojamiento.</t>
        </is>
      </c>
    </row>
    <row r="9" ht="56" customHeight="1">
      <c r="A9" s="20" t="inlineStr">
        <is>
          <t>Merch — el 50% que falta pagar</t>
        </is>
      </c>
      <c r="B9" s="22" t="inlineStr">
        <is>
          <t>Regla del 50%: quedan US$9.941 por transferir en USDT</t>
        </is>
      </c>
      <c r="C9" s="22" t="inlineStr">
        <is>
          <t>Según las facturas reemitidas en agosto: US$11.949</t>
        </is>
      </c>
      <c r="D9" s="37">
        <f>11949.25-9940.79</f>
        <v/>
      </c>
      <c r="E9" s="22" t="inlineStr">
        <is>
          <t>Las facturas de LEOTEX (lanyards) y Derqui (gráfica ARG) vienen por el total aunque ya se abonó el 50%. Una consulta a cada proveedor cierra la diferencia. Lo urgente igual son las remeras (US$2.781) y el bordado de gorras (US$1.722): esos no tienen nada pagado.</t>
        </is>
      </c>
    </row>
    <row r="10" ht="56" customHeight="1">
      <c r="A10" s="20" t="inlineStr">
        <is>
          <t>Merch — cómo se reparten los pañuelos con Uruguay</t>
        </is>
      </c>
      <c r="B10" s="22" t="inlineStr">
        <is>
          <t>Los 8.500 pañuelos se imputan 65% a Argentina (US$6.973)</t>
        </is>
      </c>
      <c r="C10" s="22" t="inlineStr">
        <is>
          <t>Si van todos a Argentina: US$10.728</t>
        </is>
      </c>
      <c r="D10" s="37">
        <f>0.35*13387500*1.21/TABLERO!$C$4</f>
        <v/>
      </c>
      <c r="E10" s="22" t="inlineStr">
        <is>
          <t>La factura no separa las unidades por país. Definir el reparto con Uruguay antes de cerrar el número para el CEO.</t>
        </is>
      </c>
    </row>
    <row r="11" ht="56" customHeight="1">
      <c r="A11" s="20" t="inlineStr">
        <is>
          <t>Vuelos y alojamiento del equipo</t>
        </is>
      </c>
      <c r="B11" s="22" t="inlineStr">
        <is>
          <t>Sin cotizar</t>
        </is>
      </c>
      <c r="C11" s="22" t="inlineStr">
        <is>
          <t>Sin cotizar</t>
        </is>
      </c>
      <c r="D11" s="27" t="n"/>
      <c r="E11" s="22" t="inlineStr">
        <is>
          <t>No hay ni un mail ni una línea en el sheet. Con 8 personas de equipo interno, es el hueco más grande que queda.</t>
        </is>
      </c>
    </row>
    <row r="12" ht="56" customHeight="1">
      <c r="A12" s="20" t="inlineStr">
        <is>
          <t>Facturación al exterior</t>
        </is>
      </c>
      <c r="B12" s="22" t="inlineStr">
        <is>
          <t>FDL Eventos y Vittal no confirmaron si pueden facturar a la empresa de EE.UU.</t>
        </is>
      </c>
      <c r="C12" s="22" t="inlineStr">
        <is>
          <t>Buscar proveedores que sí facturen, o resolver un circuito de pago local</t>
        </is>
      </c>
      <c r="D12" s="27" t="n"/>
      <c r="E12" s="22" t="inlineStr">
        <is>
          <t>Resolverlo antes de firmar: puede trabar los dos contratos.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5" customWidth="1" min="3" max="3"/>
    <col width="12" customWidth="1" min="4" max="4"/>
    <col width="44" customWidth="1" min="5" max="5"/>
    <col width="15" customWidth="1" min="6" max="6"/>
    <col width="12" customWidth="1" min="7" max="7"/>
    <col width="13" customWidth="1" min="8" max="8"/>
    <col width="10" customWidth="1" min="9" max="9"/>
    <col width="60" customWidth="1" min="10" max="10"/>
  </cols>
  <sheetData>
    <row r="1">
      <c r="A1" s="1" t="inlineStr">
        <is>
          <t>Lo cotizado contra lo que se cerró</t>
        </is>
      </c>
    </row>
    <row r="2">
      <c r="A2" s="2" t="inlineStr">
        <is>
          <t>Cuánto se bajó rubro por rubro. La columna "Respaldo" dice si la referencia está documentada en el correo o si es un dato aportado.</t>
        </is>
      </c>
    </row>
    <row r="4">
      <c r="A4" s="6" t="inlineStr">
        <is>
          <t>Rubro</t>
        </is>
      </c>
      <c r="B4" s="6" t="inlineStr">
        <is>
          <t>Referencia cotizada</t>
        </is>
      </c>
      <c r="C4" s="6" t="inlineStr">
        <is>
          <t>Ref. en pesos</t>
        </is>
      </c>
      <c r="D4" s="6" t="inlineStr">
        <is>
          <t>Ref. USD</t>
        </is>
      </c>
      <c r="E4" s="6" t="inlineStr">
        <is>
          <t>Lo que se cerró</t>
        </is>
      </c>
      <c r="F4" s="6" t="inlineStr">
        <is>
          <t>Cerrado en pesos</t>
        </is>
      </c>
      <c r="G4" s="6" t="inlineStr">
        <is>
          <t>Cerrado USD</t>
        </is>
      </c>
      <c r="H4" s="6" t="inlineStr">
        <is>
          <t>Ahorro USD</t>
        </is>
      </c>
      <c r="I4" s="6" t="inlineStr">
        <is>
          <t>Ahorro %</t>
        </is>
      </c>
      <c r="J4" s="6" t="inlineStr">
        <is>
          <t>Respaldo</t>
        </is>
      </c>
    </row>
    <row r="5" ht="46" customHeight="1">
      <c r="A5" s="20" t="inlineStr">
        <is>
          <t>Infraestructura — armado de stands</t>
        </is>
      </c>
      <c r="B5" s="22" t="inlineStr">
        <is>
          <t>La Rural: panelería + dirección técnica + guardias</t>
        </is>
      </c>
      <c r="C5" s="23" t="n">
        <v>16858366.2</v>
      </c>
      <c r="D5" s="27">
        <f>C5/TABLERO!$C$4</f>
        <v/>
      </c>
      <c r="E5" s="22" t="inlineStr">
        <is>
          <t>Armado del stand de staff, el de producción y el camarín</t>
        </is>
      </c>
      <c r="F5" s="23" t="n"/>
      <c r="G5" s="28" t="n">
        <v>9270</v>
      </c>
      <c r="H5" s="76">
        <f>D5-G5</f>
        <v/>
      </c>
      <c r="I5" s="112">
        <f>IFERROR(H5/D5,"")</f>
        <v/>
      </c>
      <c r="J5" s="29" t="inlineStr">
        <is>
          <t>Presupuesto de La Rural del 17/08 (mail criccio@larural.com.ar): panelería $9.938.187 más generales $6.920.179. Cerrado por Agustina en US$9.270.</t>
        </is>
      </c>
    </row>
    <row r="6" ht="46" customHeight="1">
      <c r="A6" s="20" t="inlineStr">
        <is>
          <t>Mobiliario — sillas y montaje</t>
        </is>
      </c>
      <c r="B6" s="22" t="inlineStr">
        <is>
          <t>La Rural: 5.000 sillas imperio bordó, armado incluido</t>
        </is>
      </c>
      <c r="C6" s="23" t="n"/>
      <c r="D6" s="28" t="n">
        <v>28431</v>
      </c>
      <c r="E6" s="22" t="inlineStr">
        <is>
          <t>FDL Eventos: 5.500 sillas + flete, más el montaje, la acomodación y el desmontaje</t>
        </is>
      </c>
      <c r="F6" s="23" t="n"/>
      <c r="G6" s="28" t="n">
        <v>17450</v>
      </c>
      <c r="H6" s="76">
        <f>D6-G6</f>
        <v/>
      </c>
      <c r="I6" s="112">
        <f>IFERROR(H6/D6,"")</f>
        <v/>
      </c>
      <c r="J6" s="29" t="inlineStr">
        <is>
          <t>Cifras de Agustina, sin IVA. Reemplaza la fila que estaba aparte como "sillas": es la misma negociación, estaba contada dos veces. Verificado: 17.450 al dólar de referencia son $26.698.500, que es el presupuesto FDL 026-2697 ($25.800.000) más los $900.000 del montaje. Agustina tiene los presupuestos anteriores para adjuntar.</t>
        </is>
      </c>
    </row>
    <row r="7" ht="46" customHeight="1">
      <c r="A7" s="20" t="inlineStr">
        <is>
          <t>Entelado</t>
        </is>
      </c>
      <c r="B7" s="22" t="inlineStr">
        <is>
          <t>Primer presupuesto recibido</t>
        </is>
      </c>
      <c r="C7" s="23" t="n"/>
      <c r="D7" s="28" t="n">
        <v>25490</v>
      </c>
      <c r="E7" s="22" t="inlineStr">
        <is>
          <t>Negociado por Agustina</t>
        </is>
      </c>
      <c r="F7" s="23" t="n"/>
      <c r="G7" s="28" t="n">
        <v>16500</v>
      </c>
      <c r="H7" s="76">
        <f>D7-G7</f>
        <v/>
      </c>
      <c r="I7" s="112">
        <f>IFERROR(H7/D7,"")</f>
        <v/>
      </c>
      <c r="J7" s="29" t="inlineStr">
        <is>
          <t>Cifras de Agustina, sin IVA. Verificado: 25.490 al dólar de referencia son $39.000.000 exactos, que es la primera cotización. Agustina tiene el presupuesto anterior para adjuntar.</t>
        </is>
      </c>
    </row>
    <row r="8" ht="46" customHeight="1">
      <c r="A8" s="20" t="inlineStr">
        <is>
          <t>Catering</t>
        </is>
      </c>
      <c r="B8" s="22" t="inlineStr">
        <is>
          <t>Primera propuesta de Grupo Ambient</t>
        </is>
      </c>
      <c r="C8" s="23" t="n">
        <v>30000000</v>
      </c>
      <c r="D8" s="27">
        <f>C8/TABLERO!$C$4</f>
        <v/>
      </c>
      <c r="E8" s="22" t="inlineStr">
        <is>
          <t>600 lunchbox VIP + desayuno, almuerzo y cena para 150 personas</t>
        </is>
      </c>
      <c r="F8" s="23" t="n"/>
      <c r="G8" s="28" t="n">
        <v>14569</v>
      </c>
      <c r="H8" s="76">
        <f>D8-G8</f>
        <v/>
      </c>
      <c r="I8" s="112">
        <f>IFERROR(H8/D8,"")</f>
        <v/>
      </c>
      <c r="J8" s="29" t="inlineStr">
        <is>
          <t>Cierre informado por Agustina. En el correo está la propuesta de AmbientHouse del 16/06 a $28.500 + IVA por persona por día con base mínima de 480.</t>
        </is>
      </c>
    </row>
    <row r="9" ht="46" customHeight="1">
      <c r="A9" s="20" t="inlineStr">
        <is>
          <t>Merch e impresos</t>
        </is>
      </c>
      <c r="B9" s="22" t="inlineStr">
        <is>
          <t>Proveedor de Cumbre, precios unitarios al 06/07</t>
        </is>
      </c>
      <c r="C9" s="23" t="n"/>
      <c r="D9" s="28" t="n">
        <v>16261.12</v>
      </c>
      <c r="E9" s="22" t="inlineStr">
        <is>
          <t>Proveedores argentinos conseguidos por Agustina</t>
        </is>
      </c>
      <c r="F9" s="23" t="n"/>
      <c r="G9" s="28" t="n">
        <v>5067.97</v>
      </c>
      <c r="H9" s="76">
        <f>D9-G9</f>
        <v/>
      </c>
      <c r="I9" s="112">
        <f>IFERROR(H9/D9,"")</f>
        <v/>
      </c>
      <c r="J9" s="29" t="inlineStr">
        <is>
          <t>Comparativa de merch.cmc2026.com al 06/07/2026 (dólar $1.515). Es una canasta cerrada de siete ítems: remeras, gorras, lanyards, credenciales, hojas A4, tarjetas y bolsas de friselina. Las pulseras tyvek quedan fuera de los dos lados porque no hay precio comparable. NO es el total del rubro merch: los pañuelos y el bordado de gorras no entran en esta comparación.</t>
        </is>
      </c>
    </row>
    <row r="10" ht="46" customHeight="1">
      <c r="A10" s="20" t="inlineStr">
        <is>
          <t>Vallado del público</t>
        </is>
      </c>
      <c r="B10" s="22" t="inlineStr">
        <is>
          <t>Presupuestado en la hoja de Argentina</t>
        </is>
      </c>
      <c r="C10" s="23" t="n"/>
      <c r="D10" s="28" t="n">
        <v>1250</v>
      </c>
      <c r="E10" s="22" t="inlineStr">
        <is>
          <t>500 vallas bonificadas por el proveedor de técnica</t>
        </is>
      </c>
      <c r="F10" s="23" t="n"/>
      <c r="G10" s="28" t="n">
        <v>0</v>
      </c>
      <c r="H10" s="76">
        <f>D10-G10</f>
        <v/>
      </c>
      <c r="I10" s="112">
        <f>IFERROR(H10/D10,"")</f>
        <v/>
      </c>
      <c r="J10" s="29" t="inlineStr">
        <is>
          <t>Negociación de Agustina. Además bonifican los efectos especiales, que no estaban valorizados.</t>
        </is>
      </c>
    </row>
    <row r="11">
      <c r="A11" s="52" t="inlineStr">
        <is>
          <t>AHORRO TOTAL</t>
        </is>
      </c>
      <c r="D11" s="113">
        <f>SUM(D5:D10)</f>
        <v/>
      </c>
      <c r="G11" s="113">
        <f>SUM(G5:G10)</f>
        <v/>
      </c>
      <c r="H11" s="113">
        <f>SUM(H5:H10)</f>
        <v/>
      </c>
    </row>
    <row r="13">
      <c r="A13" s="98" t="inlineStr">
        <is>
          <t>TÉCNICA — la comparación no es directa</t>
        </is>
      </c>
    </row>
    <row r="14">
      <c r="A14" s="2" t="inlineStr">
        <is>
          <t>Se pidió cotización de técnica a NUEVE empresas el 13 y 14 de junio. Respondieron seis con número. El detalle completo está en la hoja COTIZACIONES TÉCNICA.</t>
        </is>
      </c>
    </row>
    <row r="15">
      <c r="A15" s="2" t="inlineStr"/>
    </row>
    <row r="16">
      <c r="A16" s="2" t="inlineStr">
        <is>
          <t xml:space="preserve">   · Sound-Light (16/06): el PDF no se pudo abrir, el mail pesa 33 MB. El mail del 19/06 les dice que las otras estaban "prácticamente la mitad", lo que lo ubica por encima de los $100.000.000.</t>
        </is>
      </c>
    </row>
    <row r="17">
      <c r="A17" s="2" t="inlineStr">
        <is>
          <t xml:space="preserve">   · Bonetto (17/06): $94.936.000 — sonido e iluminación $69.736.000, LED $20.720.000, CCTV $4.480.000. Grúas y efectos aparte (la chispa fría la cobra POR MINUTO).</t>
        </is>
      </c>
    </row>
    <row r="18">
      <c r="A18" s="2" t="inlineStr">
        <is>
          <t xml:space="preserve">   · Prina (18/06): $48.885.000 + IVA = $59.150.850. Pero cotiza 40 m² de LED cuando el rider pide 65, y deja afuera grúas y energía. Vencida.</t>
        </is>
      </c>
    </row>
    <row r="19">
      <c r="A19" s="2" t="inlineStr">
        <is>
          <t xml:space="preserve">   · 2MG (24/06): $45.000.000 con descuento + IVA = $54.450.000, más $19.202.700 de adicionales. Sonido más liviano, cotizado para "2000 / 5000 pax".</t>
        </is>
      </c>
    </row>
    <row r="20">
      <c r="A20" s="2" t="inlineStr">
        <is>
          <t xml:space="preserve">   · Dixi Group (26/06): $82.000.000 + IVA = $99.220.000 llave en mano, con rigging completo, encomiendas y 4 máquinas de chispa fría.</t>
        </is>
      </c>
    </row>
    <row r="21">
      <c r="A21" s="2" t="inlineStr">
        <is>
          <t xml:space="preserve">   · VMG (29/06): $15.276.250 con IVA, sólo las pantallas LED de 65 m².</t>
        </is>
      </c>
    </row>
    <row r="22">
      <c r="A22" s="2" t="inlineStr"/>
    </row>
    <row r="23">
      <c r="A23" s="2" t="inlineStr">
        <is>
          <t>POR QUÉ TÉCNICA NO ENTRA EN LA TABLA DE ARRIBA: Grupo MET cerró en US$60.000 ($90.600.000) y con el circuito cerrado el paquete queda cerca de $100.000.000.</t>
        </is>
      </c>
    </row>
    <row r="24">
      <c r="A24" s="2" t="inlineStr">
        <is>
          <t>Eso es prácticamente lo mismo que Dixi llave en mano y menos que Bonetto, pero está POR ENCIMA de 2MG y de Prina. Poner esa diferencia como ahorro no se sostendría</t>
        </is>
      </c>
    </row>
    <row r="25">
      <c r="A25" s="2" t="inlineStr">
        <is>
          <t>delante del CEO, porque los alcances no son iguales: Prina cotizó 38% menos de LED, 2MG un sonido más chico, y Grupo MET incluye lo que se agregó tras la visita al predio.</t>
        </is>
      </c>
    </row>
    <row r="26">
      <c r="A26" s="2" t="inlineStr"/>
    </row>
    <row r="27">
      <c r="A27" s="2" t="inlineStr">
        <is>
          <t>LO QUE SÍ SE SOSTIENE EN TÉCNICA: las 500 vallas y los efectos especiales van bonificados. Bonetto los cobra: $300.000 la máquina de humo y $600.000 POR MINUTO las dos de chispa fría.</t>
        </is>
      </c>
    </row>
    <row r="28">
      <c r="A28" s="2" t="inlineStr">
        <is>
          <t>Con los 6 disparos por día que pide el rider, en cualquiera de las otras propuestas eso es plata.</t>
        </is>
      </c>
    </row>
    <row r="29">
      <c r="A29" s="2" t="inlineStr"/>
    </row>
    <row r="30">
      <c r="A30" s="2" t="inlineStr">
        <is>
          <t>FALTA UNA SOLA COSA para cerrar el ahorro de técnica con un número: el PDF de Grupo MET con el alcance final. Es el único de los siete proveedores sin presupuesto escrito en el correo.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4" customWidth="1" min="3" max="3"/>
    <col width="16" customWidth="1" min="4" max="4"/>
    <col width="16" customWidth="1" min="5" max="5"/>
    <col width="15" customWidth="1" min="6" max="6"/>
    <col width="62" customWidth="1" min="7" max="7"/>
    <col width="44" customWidth="1" min="8" max="8"/>
    <col width="70" customWidth="1" min="9" max="9"/>
  </cols>
  <sheetData>
    <row r="1">
      <c r="A1" s="1" t="inlineStr">
        <is>
          <t>Las siete propuestas de técnica que llegaron</t>
        </is>
      </c>
    </row>
    <row r="2">
      <c r="A2" s="2" t="inlineStr">
        <is>
          <t>Se pidió cotización a nueve empresas entre el 13 y el 14 de junio. Respondieron seis con número; Black-Out y 4A Latam nunca contestaron y una dirección rebotó.</t>
        </is>
      </c>
    </row>
    <row r="4">
      <c r="A4" s="6" t="inlineStr">
        <is>
          <t>Proveedor</t>
        </is>
      </c>
      <c r="B4" s="6" t="inlineStr">
        <is>
          <t>Fecha</t>
        </is>
      </c>
      <c r="C4" s="6" t="inlineStr">
        <is>
          <t>Contacto</t>
        </is>
      </c>
      <c r="D4" s="6" t="inlineStr">
        <is>
          <t>Sin IVA</t>
        </is>
      </c>
      <c r="E4" s="6" t="inlineStr">
        <is>
          <t>Con IVA 21%</t>
        </is>
      </c>
      <c r="F4" s="6" t="inlineStr">
        <is>
          <t>USD al dólar de trabajo</t>
        </is>
      </c>
      <c r="G4" s="6" t="inlineStr">
        <is>
          <t>Qué incluye</t>
        </is>
      </c>
      <c r="H4" s="6" t="inlineStr">
        <is>
          <t>Qué queda aparte</t>
        </is>
      </c>
      <c r="I4" s="6" t="inlineStr">
        <is>
          <t>Observaciones</t>
        </is>
      </c>
    </row>
    <row r="5" ht="86" customHeight="1">
      <c r="A5" s="30" t="inlineStr">
        <is>
          <t>Sound-Light</t>
        </is>
      </c>
      <c r="B5" s="31" t="inlineStr">
        <is>
          <t>16/06/2026</t>
        </is>
      </c>
      <c r="C5" s="39" t="inlineStr">
        <is>
          <t>ventas@sound-light.com.ar (Noelia Escudero)</t>
        </is>
      </c>
      <c r="D5" s="33" t="n"/>
      <c r="E5" s="35" t="n"/>
      <c r="F5" s="114">
        <f>IF(E5="","",E5/TABLERO!$C$4)</f>
        <v/>
      </c>
      <c r="G5" s="32" t="inlineStr">
        <is>
          <t>Técnica integral sobre el pliego base.</t>
        </is>
      </c>
      <c r="H5" s="32" t="inlineStr">
        <is>
          <t>Sin detalle: no se pudo abrir el adjunto.</t>
        </is>
      </c>
      <c r="I5" s="39" t="inlineStr">
        <is>
          <t>El mail pesa 33 MB y el PDF no se puede extraer desde acá. Lo que sí está documentado es el mail del 19/06 en el que Agustina les dice que las otras cotizaciones estaban "prácticamente la mitad de lo cotizado por ustedes". Sobre las de esa fecha (Bonetto y Prina) eso lo ubica por encima de los $100.000.000.</t>
        </is>
      </c>
    </row>
    <row r="6" ht="86" customHeight="1">
      <c r="A6" s="20" t="inlineStr">
        <is>
          <t>Bonetto Sonido e Iluminación</t>
        </is>
      </c>
      <c r="B6" s="21" t="inlineStr">
        <is>
          <t>17/06/2026</t>
        </is>
      </c>
      <c r="C6" s="29" t="inlineStr">
        <is>
          <t>cristian@bonetto.net</t>
        </is>
      </c>
      <c r="D6" s="23" t="n">
        <v>94936000</v>
      </c>
      <c r="E6" s="25">
        <f>D6*1.21</f>
        <v/>
      </c>
      <c r="F6" s="115">
        <f>IF(E6="","",E6/TABLERO!$C$4)</f>
        <v/>
      </c>
      <c r="G6" s="22" t="inlineStr">
        <is>
          <t>Sonido e iluminación $69.736.000 · pantallas LED $20.720.000 · CCTV $4.480.000. 16 L-Acoustics Kiva II, 240 LED ST18-15, 322 truss box, consola Yamaha QL5.</t>
        </is>
      </c>
      <c r="H6" s="22" t="inlineStr">
        <is>
          <t>Grúas (2 autoelevadores tijera x 3 días) $4.480.000 · máquina de humo $300.000 · 2 máquinas de chispa fría $600.000 POR MINUTO · minuto adicional $150.000.</t>
        </is>
      </c>
      <c r="I6" s="29" t="inlineStr">
        <is>
          <t>Presupuesto PR26-287 V.1. El PDF viene con el texto vectorizado: hubo que renderizarlo a imagen para leerlo. No aclara si los valores llevan IVA. Dice expresamente "NO CONTEMPLA RIDER DE BANDA".</t>
        </is>
      </c>
    </row>
    <row r="7" ht="86" customHeight="1">
      <c r="A7" s="20" t="inlineStr">
        <is>
          <t>Prina</t>
        </is>
      </c>
      <c r="B7" s="21" t="inlineStr">
        <is>
          <t>18/06/2026</t>
        </is>
      </c>
      <c r="C7" s="29" t="inlineStr">
        <is>
          <t>valentin.andina@prina.net</t>
        </is>
      </c>
      <c r="D7" s="23" t="n">
        <v>48885000</v>
      </c>
      <c r="E7" s="23" t="n">
        <v>59150850</v>
      </c>
      <c r="F7" s="115">
        <f>IF(E7="","",E7/TABLERO!$C$4)</f>
        <v/>
      </c>
      <c r="G7" s="22" t="inlineStr">
        <is>
          <t>LED 40 m² $6.700.000 · CCTV 2 cámaras $4.510.000 · sonido (16 Adamson Y10) $10.465.000 · iluminación $12.490.000 · RRHH y logística $14.720.000.</t>
        </is>
      </c>
      <c r="H7" s="22" t="inlineStr">
        <is>
          <t>Incluye 2 máquinas Sparkular y máquina de humo.</t>
        </is>
      </c>
      <c r="I7" s="29" t="inlineStr">
        <is>
          <t>OJO CON EL ALCANCE: cotiza 40 m² de LED (6×4 + 2 de 2×4) cuando el rider pide 65 m² (7×5 + 2 de 3×5). No incluye grúas, brazos articulados ni tijeras, ni la generación de energía. Validez de 10 días: vencida desde el 28/06.</t>
        </is>
      </c>
    </row>
    <row r="8" ht="86" customHeight="1">
      <c r="A8" s="20" t="inlineStr">
        <is>
          <t>2MG</t>
        </is>
      </c>
      <c r="B8" s="21" t="inlineStr">
        <is>
          <t>24/06/2026</t>
        </is>
      </c>
      <c r="C8" s="29" t="inlineStr">
        <is>
          <t>rocio.g@2mg.net</t>
        </is>
      </c>
      <c r="D8" s="23" t="n">
        <v>45000000</v>
      </c>
      <c r="E8" s="23" t="n">
        <v>54450000</v>
      </c>
      <c r="F8" s="115">
        <f>IF(E8="","",E8/TABLERO!$C$4)</f>
        <v/>
      </c>
      <c r="G8" s="22" t="inlineStr">
        <is>
          <t>Sonido, video (LED 65 m², medida correcta), iluminación, CCTV, efectos especiales, RRHH y logística. Total de lista $53.655.470, con descuento especial $45.000.000.</t>
        </is>
      </c>
      <c r="H8" s="22" t="inlineStr">
        <is>
          <t>Extras de iluminación $10.177.500 · escenario 13×3 m con pasarela $5.692.500. Los dos juntos suman $15.870.000 sin IVA.</t>
        </is>
      </c>
      <c r="I8" s="29" t="inlineStr">
        <is>
          <t>Incluye certificación de planos por escribano, eléctrico matriculado y autoelevadora, hasta 8 puntos de colgado. El sonido es más liviano que el de los otros (12 gabinetes DVA T8) y el presupuesto dice "2000 / 5000 pax". Validez 15 días.</t>
        </is>
      </c>
    </row>
    <row r="9" ht="86" customHeight="1">
      <c r="A9" s="20" t="inlineStr">
        <is>
          <t>Dixi Group</t>
        </is>
      </c>
      <c r="B9" s="21" t="inlineStr">
        <is>
          <t>26/06/2026</t>
        </is>
      </c>
      <c r="C9" s="29" t="inlineStr">
        <is>
          <t>g.judcovski@dixieventos.com.ar</t>
        </is>
      </c>
      <c r="D9" s="23" t="n">
        <v>82000000</v>
      </c>
      <c r="E9" s="23" t="n">
        <v>99220000</v>
      </c>
      <c r="F9" s="115">
        <f>IF(E9="","",E9/TABLERO!$C$4)</f>
        <v/>
      </c>
      <c r="G9" s="22" t="inlineStr">
        <is>
          <t>Llave en mano: sonido, iluminación (90 par LED, 6 beam, 8 wash), video (LED 65 m²), CCTV y rigging completo (6 puentes de 12 m, 14 aparejos de 1 T, motores).</t>
        </is>
      </c>
      <c r="H9" s="22" t="inlineStr">
        <is>
          <t>Nada: es llave en mano.</t>
        </is>
      </c>
      <c r="I9" s="29" t="inlineStr">
        <is>
          <t>Es el alcance más completo de todos. Incluye 4 máquinas de chispa fría con 8 disparos por día, plano general con puntos de colgado firmado por arquitecto, encomienda eléctrica de profesional matriculado y productores generales de técnica.</t>
        </is>
      </c>
    </row>
    <row r="10" ht="86" customHeight="1">
      <c r="A10" s="42" t="inlineStr">
        <is>
          <t>VMG Visual Solutions</t>
        </is>
      </c>
      <c r="B10" s="43" t="inlineStr">
        <is>
          <t>29/06/2026</t>
        </is>
      </c>
      <c r="C10" s="49" t="inlineStr">
        <is>
          <t>presupuestos@vmg-web.com</t>
        </is>
      </c>
      <c r="D10" s="50" t="n">
        <v>12625000</v>
      </c>
      <c r="E10" s="50" t="n">
        <v>15276250</v>
      </c>
      <c r="F10" s="116">
        <f>IF(E10="","",E10/TABLERO!$C$4)</f>
        <v/>
      </c>
      <c r="G10" s="44" t="inlineStr">
        <is>
          <t>Sólo pantallas LED: 65 m² (7×5 central + 2 de 3×5), pitch 2.6 indoor blackface, con control, servidor y operador.</t>
        </is>
      </c>
      <c r="H10" s="44" t="inlineStr">
        <is>
          <t>Todo lo demás.</t>
        </is>
      </c>
      <c r="I10" s="49" t="inlineStr">
        <is>
          <t>NO ES COMPARABLE con las otras: es únicamente video. Sirve para poner precio al renglón de LED. No incluye estructuras de colgado, rigging, tarimas, entelados ni autoelevadores. Recotiza si el dólar salta más de 15%.</t>
        </is>
      </c>
    </row>
    <row r="11" ht="86" customHeight="1">
      <c r="A11" s="9" t="inlineStr">
        <is>
          <t>Grupo MET — ES EL QUE SE CONTRATÓ</t>
        </is>
      </c>
      <c r="B11" s="10" t="inlineStr">
        <is>
          <t>sin PDF</t>
        </is>
      </c>
      <c r="C11" s="16" t="inlineStr">
        <is>
          <t>lalo@somosgrupomet.com</t>
        </is>
      </c>
      <c r="D11" s="40" t="n"/>
      <c r="E11" s="40" t="n">
        <v>90600000</v>
      </c>
      <c r="F11" s="117">
        <f>IF(E11="","",E11/TABLERO!$C$4)</f>
        <v/>
      </c>
      <c r="G11" s="11" t="inlineStr">
        <is>
          <t>Sonido, iluminación, video y LED por US$60.000. Aparte: entelado $24.500.000 y circuito cerrado US$6.209.</t>
        </is>
      </c>
      <c r="H11" s="11" t="inlineStr">
        <is>
          <t>Bonifica 500 vallas y los efectos especiales, que en las otras cotizaciones se pagan.</t>
        </is>
      </c>
      <c r="I11" s="16" t="inlineStr">
        <is>
          <t>ES EL ÚNICO DE LOS SIETE SIN PRESUPUESTO ESCRITO EN EL CORREO. Se revisó todo el Gmail: en el hilo con Lalo Aizenberg hay ocho idas y vueltas entre el 16 y el 30 de junio y una visita al predio el 30/06, pero nunca llegó un PDF. Lo único que hay es la factura INV-11 de Mercury por US$5.000, pagada el 31/07.</t>
        </is>
      </c>
    </row>
    <row r="13">
      <c r="A13" s="98" t="inlineStr">
        <is>
          <t>CÓMO LEER ESTA TABLA — Y POR QUÉ NO SE PUEDE RESTAR SIN MÁS</t>
        </is>
      </c>
    </row>
    <row r="14">
      <c r="A14" s="2" t="inlineStr">
        <is>
          <t>Los siete números NO cotizan lo mismo, así que la diferencia contra Grupo MET no es un ahorro hasta que se iguale el alcance:</t>
        </is>
      </c>
    </row>
    <row r="15">
      <c r="A15" s="2" t="inlineStr">
        <is>
          <t xml:space="preserve">   · Grupo MET cerró en US$60.000 (unos $90.600.000) por sonido, iluminación, video y LED, con todo lo que se fue agregando después de la visita al predio del 30 de junio.</t>
        </is>
      </c>
    </row>
    <row r="16">
      <c r="A16" s="2" t="inlineStr">
        <is>
          <t xml:space="preserve">   · Sumándole el circuito cerrado (US$6.209) el paquete de técnica queda cerca de los $100.000.000, que es prácticamente lo mismo que cotizó Dixi llave en mano ($99.220.000) y por debajo de Bonetto ($114.872.560 más grúas y efectos).</t>
        </is>
      </c>
    </row>
    <row r="17">
      <c r="A17" s="2" t="inlineStr">
        <is>
          <t xml:space="preserve">   · En cambio queda POR ENCIMA de 2MG con descuento ($54.450.000 más $19.202.700 de adicionales = $73.652.700) y de Prina ($59.150.850).</t>
        </is>
      </c>
    </row>
    <row r="18">
      <c r="A18" s="2" t="inlineStr">
        <is>
          <t xml:space="preserve">   · Pero Prina cotizó 40 m² de LED cuando el rider pide 65, y dejó afuera las grúas y la energía; y 2MG cotizó un sonido más liviano, para "2000 / 5000 pax".</t>
        </is>
      </c>
    </row>
    <row r="19">
      <c r="A19" s="2" t="inlineStr"/>
    </row>
    <row r="20">
      <c r="A20" s="2" t="inlineStr">
        <is>
          <t>Lo que sí está documentado y se sostiene solo:</t>
        </is>
      </c>
    </row>
    <row r="21">
      <c r="A21" s="2" t="inlineStr">
        <is>
          <t xml:space="preserve">   · Sound-Light quedó afuera por precio, y hay un mail del 19/06 pidiéndoles que revisen porque las otras estaban "prácticamente la mitad".</t>
        </is>
      </c>
    </row>
    <row r="22">
      <c r="A22" s="2" t="inlineStr">
        <is>
          <t xml:space="preserve">   · Los efectos especiales y las 500 vallas los bonifica Grupo MET. Bonetto los cobra: $300.000 la máquina de humo y $600.000 POR MINUTO las dos de chispa fría.</t>
        </is>
      </c>
    </row>
    <row r="23">
      <c r="A23" s="2" t="inlineStr">
        <is>
          <t xml:space="preserve">   · Se pidieron nueve cotizaciones y se compararon seis. Ese trabajo está entero en el correo.</t>
        </is>
      </c>
    </row>
    <row r="24">
      <c r="A24" s="2" t="inlineStr"/>
    </row>
    <row r="25">
      <c r="A25" s="118" t="inlineStr">
        <is>
          <t>PARA CERRAR EL AHORRO DE TÉCNICA FALTA UNA SOLA COSA: el PDF de Grupo MET con el alcance final. Con eso se puede comparar contra el mismo alcance en Dixi, Bonetto, 2MG y Prina, y recién ahí poner un número.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8" customWidth="1" min="3" max="3"/>
    <col width="15" customWidth="1" min="4" max="4"/>
    <col width="12" customWidth="1" min="5" max="5"/>
    <col width="12" customWidth="1" min="6" max="6"/>
    <col width="17" customWidth="1" min="7" max="7"/>
    <col width="44" customWidth="1" min="8" max="8"/>
  </cols>
  <sheetData>
    <row r="1">
      <c r="A1" s="1" t="inlineStr">
        <is>
          <t>Presupuesto de infraestructura de La Rural, línea por línea</t>
        </is>
      </c>
    </row>
    <row r="2">
      <c r="A2" s="2" t="inlineStr">
        <is>
          <t>Las 28 líneas del PDF del 17/08. Marcá SÍ o NO en la columna "¿Se queda?" y el subtotal se recalcula.</t>
        </is>
      </c>
    </row>
    <row r="4">
      <c r="A4" s="6" t="inlineStr">
        <is>
          <t>#</t>
        </is>
      </c>
      <c r="B4" s="6" t="inlineStr">
        <is>
          <t>Bloque</t>
        </is>
      </c>
      <c r="C4" s="6" t="inlineStr">
        <is>
          <t>Ítem</t>
        </is>
      </c>
      <c r="D4" s="6" t="inlineStr">
        <is>
          <t>Precio (ARS)</t>
        </is>
      </c>
      <c r="E4" s="6" t="inlineStr">
        <is>
          <t>USD</t>
        </is>
      </c>
      <c r="F4" s="6" t="inlineStr">
        <is>
          <t>¿Se queda?</t>
        </is>
      </c>
      <c r="G4" s="6" t="inlineStr">
        <is>
          <t>Si se queda (ARS)</t>
        </is>
      </c>
      <c r="H4" s="6" t="inlineStr">
        <is>
          <t>Nota</t>
        </is>
      </c>
    </row>
    <row r="5">
      <c r="A5" s="87" t="inlineStr">
        <is>
          <t xml:space="preserve">  PANELERÍA (montaje de estructuras)</t>
        </is>
      </c>
      <c r="B5" s="88" t="n"/>
      <c r="C5" s="88" t="n"/>
      <c r="D5" s="88" t="n"/>
      <c r="E5" s="88" t="n"/>
      <c r="F5" s="88" t="n"/>
      <c r="G5" s="88" t="n"/>
      <c r="H5" s="88" t="n"/>
    </row>
    <row r="6">
      <c r="A6" s="105" t="n">
        <v>1</v>
      </c>
      <c r="B6" s="105" t="inlineStr">
        <is>
          <t>PANELERÍA (montaje de estructuras)</t>
        </is>
      </c>
      <c r="C6" s="106" t="inlineStr">
        <is>
          <t>Oficina de producción — 25 m² (panelería + puerta + iluminación)</t>
        </is>
      </c>
      <c r="D6" s="119" t="n">
        <v>1314575</v>
      </c>
      <c r="E6" s="61">
        <f>D6/TABLERO!$C$4</f>
        <v/>
      </c>
      <c r="F6" s="120" t="inlineStr">
        <is>
          <t>SÍ</t>
        </is>
      </c>
      <c r="G6" s="121">
        <f>IF(F6="SÍ",D6,0)</f>
        <v/>
      </c>
      <c r="H6" s="105" t="inlineStr"/>
    </row>
    <row r="7">
      <c r="A7" s="105" t="n">
        <v>2</v>
      </c>
      <c r="B7" s="105" t="inlineStr">
        <is>
          <t>PANELERÍA (montaje de estructuras)</t>
        </is>
      </c>
      <c r="C7" s="106" t="inlineStr">
        <is>
          <t>Sala de staff — 100 m² (panelería + puerta + iluminación)</t>
        </is>
      </c>
      <c r="D7" s="119" t="n">
        <v>5258300</v>
      </c>
      <c r="E7" s="61">
        <f>D7/TABLERO!$C$4</f>
        <v/>
      </c>
      <c r="F7" s="120" t="inlineStr">
        <is>
          <t>SÍ</t>
        </is>
      </c>
      <c r="G7" s="121">
        <f>IF(F7="SÍ",D7,0)</f>
        <v/>
      </c>
      <c r="H7" s="105" t="inlineStr"/>
    </row>
    <row r="8">
      <c r="A8" s="105" t="n">
        <v>3</v>
      </c>
      <c r="B8" s="105" t="inlineStr">
        <is>
          <t>PANELERÍA (montaje de estructuras)</t>
        </is>
      </c>
      <c r="C8" s="106" t="inlineStr">
        <is>
          <t>Depósito 8×8 para las 2.500 barras — 64 m²</t>
        </is>
      </c>
      <c r="D8" s="119" t="n">
        <v>3365312</v>
      </c>
      <c r="E8" s="61">
        <f>D8/TABLERO!$C$4</f>
        <v/>
      </c>
      <c r="F8" s="120" t="inlineStr">
        <is>
          <t>SÍ</t>
        </is>
      </c>
      <c r="G8" s="121">
        <f>IF(F8="SÍ",D8,0)</f>
        <v/>
      </c>
      <c r="H8" s="105" t="inlineStr">
        <is>
          <t>Depósito para las 2.500 barras de la dinámica.</t>
        </is>
      </c>
    </row>
    <row r="9">
      <c r="A9" s="87" t="inlineStr">
        <is>
          <t xml:space="preserve">  MOBILIARIO · oficina de producción</t>
        </is>
      </c>
      <c r="B9" s="88" t="n"/>
      <c r="C9" s="88" t="n"/>
      <c r="D9" s="88" t="n"/>
      <c r="E9" s="88" t="n"/>
      <c r="F9" s="88" t="n"/>
      <c r="G9" s="88" t="n"/>
      <c r="H9" s="88" t="n"/>
    </row>
    <row r="10">
      <c r="A10" s="105" t="n">
        <v>4</v>
      </c>
      <c r="B10" s="105" t="inlineStr">
        <is>
          <t>oficina de producción</t>
        </is>
      </c>
      <c r="C10" s="106" t="inlineStr">
        <is>
          <t>Mesa redonda 1,60 ×2</t>
        </is>
      </c>
      <c r="D10" s="119" t="n">
        <v>236000</v>
      </c>
      <c r="E10" s="61">
        <f>D10/TABLERO!$C$4</f>
        <v/>
      </c>
      <c r="F10" s="120" t="inlineStr">
        <is>
          <t>NO</t>
        </is>
      </c>
      <c r="G10" s="121">
        <f>IF(F10="SÍ",D10,0)</f>
        <v/>
      </c>
      <c r="H10" s="105" t="inlineStr"/>
    </row>
    <row r="11">
      <c r="A11" s="105" t="n">
        <v>5</v>
      </c>
      <c r="B11" s="105" t="inlineStr">
        <is>
          <t>oficina de producción</t>
        </is>
      </c>
      <c r="C11" s="106" t="inlineStr">
        <is>
          <t>Silla imperio bordó ×10</t>
        </is>
      </c>
      <c r="D11" s="119" t="n">
        <v>85000</v>
      </c>
      <c r="E11" s="61">
        <f>D11/TABLERO!$C$4</f>
        <v/>
      </c>
      <c r="F11" s="120" t="inlineStr">
        <is>
          <t>NO</t>
        </is>
      </c>
      <c r="G11" s="121">
        <f>IF(F11="SÍ",D11,0)</f>
        <v/>
      </c>
      <c r="H11" s="105" t="inlineStr"/>
    </row>
    <row r="12">
      <c r="A12" s="105" t="n">
        <v>6</v>
      </c>
      <c r="B12" s="105" t="inlineStr">
        <is>
          <t>oficina de producción</t>
        </is>
      </c>
      <c r="C12" s="106" t="inlineStr">
        <is>
          <t>Sillón Valencia 2C ×2</t>
        </is>
      </c>
      <c r="D12" s="119" t="n">
        <v>254000</v>
      </c>
      <c r="E12" s="61">
        <f>D12/TABLERO!$C$4</f>
        <v/>
      </c>
      <c r="F12" s="120" t="inlineStr">
        <is>
          <t>NO</t>
        </is>
      </c>
      <c r="G12" s="121">
        <f>IF(F12="SÍ",D12,0)</f>
        <v/>
      </c>
      <c r="H12" s="105" t="inlineStr"/>
    </row>
    <row r="13">
      <c r="A13" s="105" t="n">
        <v>7</v>
      </c>
      <c r="B13" s="105" t="inlineStr">
        <is>
          <t>oficina de producción</t>
        </is>
      </c>
      <c r="C13" s="106" t="inlineStr">
        <is>
          <t>Sillón BRNO ×2</t>
        </is>
      </c>
      <c r="D13" s="119" t="n">
        <v>160000</v>
      </c>
      <c r="E13" s="61">
        <f>D13/TABLERO!$C$4</f>
        <v/>
      </c>
      <c r="F13" s="120" t="inlineStr">
        <is>
          <t>NO</t>
        </is>
      </c>
      <c r="G13" s="121">
        <f>IF(F13="SÍ",D13,0)</f>
        <v/>
      </c>
      <c r="H13" s="105" t="inlineStr"/>
    </row>
    <row r="14">
      <c r="A14" s="105" t="n">
        <v>8</v>
      </c>
      <c r="B14" s="105" t="inlineStr">
        <is>
          <t>oficina de producción</t>
        </is>
      </c>
      <c r="C14" s="106" t="inlineStr">
        <is>
          <t>Mesa ratona ×1</t>
        </is>
      </c>
      <c r="D14" s="119" t="n">
        <v>118000</v>
      </c>
      <c r="E14" s="61">
        <f>D14/TABLERO!$C$4</f>
        <v/>
      </c>
      <c r="F14" s="120" t="inlineStr">
        <is>
          <t>NO</t>
        </is>
      </c>
      <c r="G14" s="121">
        <f>IF(F14="SÍ",D14,0)</f>
        <v/>
      </c>
      <c r="H14" s="105" t="inlineStr"/>
    </row>
    <row r="15">
      <c r="A15" s="105" t="n">
        <v>9</v>
      </c>
      <c r="B15" s="105" t="inlineStr">
        <is>
          <t>oficina de producción</t>
        </is>
      </c>
      <c r="C15" s="106" t="inlineStr">
        <is>
          <t>Perchero de pie ×1</t>
        </is>
      </c>
      <c r="D15" s="119" t="n">
        <v>40000</v>
      </c>
      <c r="E15" s="61">
        <f>D15/TABLERO!$C$4</f>
        <v/>
      </c>
      <c r="F15" s="120" t="inlineStr">
        <is>
          <t>NO</t>
        </is>
      </c>
      <c r="G15" s="121">
        <f>IF(F15="SÍ",D15,0)</f>
        <v/>
      </c>
      <c r="H15" s="105" t="inlineStr"/>
    </row>
    <row r="16">
      <c r="A16" s="105" t="n">
        <v>10</v>
      </c>
      <c r="B16" s="105" t="inlineStr">
        <is>
          <t>oficina de producción</t>
        </is>
      </c>
      <c r="C16" s="106" t="inlineStr">
        <is>
          <t>Tacho de basura grande ×1</t>
        </is>
      </c>
      <c r="D16" s="119" t="n">
        <v>56300</v>
      </c>
      <c r="E16" s="61">
        <f>D16/TABLERO!$C$4</f>
        <v/>
      </c>
      <c r="F16" s="120" t="inlineStr">
        <is>
          <t>NO</t>
        </is>
      </c>
      <c r="G16" s="121">
        <f>IF(F16="SÍ",D16,0)</f>
        <v/>
      </c>
      <c r="H16" s="105" t="inlineStr"/>
    </row>
    <row r="17">
      <c r="A17" s="87" t="inlineStr">
        <is>
          <t xml:space="preserve">  MOBILIARIO · sala de staff</t>
        </is>
      </c>
      <c r="B17" s="88" t="n"/>
      <c r="C17" s="88" t="n"/>
      <c r="D17" s="88" t="n"/>
      <c r="E17" s="88" t="n"/>
      <c r="F17" s="88" t="n"/>
      <c r="G17" s="88" t="n"/>
      <c r="H17" s="88" t="n"/>
    </row>
    <row r="18">
      <c r="A18" s="105" t="n">
        <v>11</v>
      </c>
      <c r="B18" s="105" t="inlineStr">
        <is>
          <t>sala de staff</t>
        </is>
      </c>
      <c r="C18" s="106" t="inlineStr">
        <is>
          <t>Mesa redonda 1,60 ×5</t>
        </is>
      </c>
      <c r="D18" s="119" t="n">
        <v>590000</v>
      </c>
      <c r="E18" s="61">
        <f>D18/TABLERO!$C$4</f>
        <v/>
      </c>
      <c r="F18" s="120" t="inlineStr">
        <is>
          <t>NO</t>
        </is>
      </c>
      <c r="G18" s="121">
        <f>IF(F18="SÍ",D18,0)</f>
        <v/>
      </c>
      <c r="H18" s="105" t="inlineStr"/>
    </row>
    <row r="19">
      <c r="A19" s="105" t="n">
        <v>12</v>
      </c>
      <c r="B19" s="105" t="inlineStr">
        <is>
          <t>sala de staff</t>
        </is>
      </c>
      <c r="C19" s="106" t="inlineStr">
        <is>
          <t>Silla imperio bordó ×40</t>
        </is>
      </c>
      <c r="D19" s="119" t="n">
        <v>340000</v>
      </c>
      <c r="E19" s="61">
        <f>D19/TABLERO!$C$4</f>
        <v/>
      </c>
      <c r="F19" s="120" t="inlineStr">
        <is>
          <t>NO</t>
        </is>
      </c>
      <c r="G19" s="121">
        <f>IF(F19="SÍ",D19,0)</f>
        <v/>
      </c>
      <c r="H19" s="105" t="inlineStr"/>
    </row>
    <row r="20">
      <c r="A20" s="105" t="n">
        <v>13</v>
      </c>
      <c r="B20" s="105" t="inlineStr">
        <is>
          <t>sala de staff</t>
        </is>
      </c>
      <c r="C20" s="106" t="inlineStr">
        <is>
          <t>Perchero de pie ×1</t>
        </is>
      </c>
      <c r="D20" s="119" t="n">
        <v>40000</v>
      </c>
      <c r="E20" s="61">
        <f>D20/TABLERO!$C$4</f>
        <v/>
      </c>
      <c r="F20" s="120" t="inlineStr">
        <is>
          <t>NO</t>
        </is>
      </c>
      <c r="G20" s="121">
        <f>IF(F20="SÍ",D20,0)</f>
        <v/>
      </c>
      <c r="H20" s="105" t="inlineStr"/>
    </row>
    <row r="21">
      <c r="A21" s="105" t="n">
        <v>14</v>
      </c>
      <c r="B21" s="105" t="inlineStr">
        <is>
          <t>sala de staff</t>
        </is>
      </c>
      <c r="C21" s="106" t="inlineStr">
        <is>
          <t>Tacho de basura grande ×1</t>
        </is>
      </c>
      <c r="D21" s="119" t="n">
        <v>56300</v>
      </c>
      <c r="E21" s="61">
        <f>D21/TABLERO!$C$4</f>
        <v/>
      </c>
      <c r="F21" s="120" t="inlineStr">
        <is>
          <t>NO</t>
        </is>
      </c>
      <c r="G21" s="121">
        <f>IF(F21="SÍ",D21,0)</f>
        <v/>
      </c>
      <c r="H21" s="105" t="inlineStr"/>
    </row>
    <row r="22">
      <c r="A22" s="87" t="inlineStr">
        <is>
          <t xml:space="preserve">  MOBILIARIO · sala principal</t>
        </is>
      </c>
      <c r="B22" s="88" t="n"/>
      <c r="C22" s="88" t="n"/>
      <c r="D22" s="88" t="n"/>
      <c r="E22" s="88" t="n"/>
      <c r="F22" s="88" t="n"/>
      <c r="G22" s="88" t="n"/>
      <c r="H22" s="88" t="n"/>
    </row>
    <row r="23">
      <c r="A23" s="105" t="n">
        <v>15</v>
      </c>
      <c r="B23" s="105" t="inlineStr">
        <is>
          <t>sala principal</t>
        </is>
      </c>
      <c r="C23" s="106" t="inlineStr">
        <is>
          <t>Silla imperio bordó ×5.000</t>
        </is>
      </c>
      <c r="D23" s="119" t="n">
        <v>42500000</v>
      </c>
      <c r="E23" s="61">
        <f>D23/TABLERO!$C$4</f>
        <v/>
      </c>
      <c r="F23" s="120" t="inlineStr">
        <is>
          <t>NO</t>
        </is>
      </c>
      <c r="G23" s="121">
        <f>IF(F23="SÍ",D23,0)</f>
        <v/>
      </c>
      <c r="H23" s="105" t="inlineStr">
        <is>
          <t>Reemplazadas por las 5.500 sillas de FDL Eventos.</t>
        </is>
      </c>
    </row>
    <row r="24">
      <c r="A24" s="105" t="n">
        <v>16</v>
      </c>
      <c r="B24" s="105" t="inlineStr">
        <is>
          <t>sala principal</t>
        </is>
      </c>
      <c r="C24" s="106" t="inlineStr">
        <is>
          <t>Mesa 1,80 × 0,90 ×40</t>
        </is>
      </c>
      <c r="D24" s="119" t="n">
        <v>2500000</v>
      </c>
      <c r="E24" s="61">
        <f>D24/TABLERO!$C$4</f>
        <v/>
      </c>
      <c r="F24" s="120" t="inlineStr">
        <is>
          <t>NO</t>
        </is>
      </c>
      <c r="G24" s="121">
        <f>IF(F24="SÍ",D24,0)</f>
        <v/>
      </c>
      <c r="H24" s="105" t="inlineStr"/>
    </row>
    <row r="25">
      <c r="A25" s="105" t="n">
        <v>17</v>
      </c>
      <c r="B25" s="105" t="inlineStr">
        <is>
          <t>sala principal</t>
        </is>
      </c>
      <c r="C25" s="106" t="inlineStr">
        <is>
          <t>Mantel ×40</t>
        </is>
      </c>
      <c r="D25" s="119" t="n">
        <v>900000</v>
      </c>
      <c r="E25" s="61">
        <f>D25/TABLERO!$C$4</f>
        <v/>
      </c>
      <c r="F25" s="120" t="inlineStr">
        <is>
          <t>NO</t>
        </is>
      </c>
      <c r="G25" s="121">
        <f>IF(F25="SÍ",D25,0)</f>
        <v/>
      </c>
      <c r="H25" s="105" t="inlineStr"/>
    </row>
    <row r="26">
      <c r="A26" s="105" t="n">
        <v>18</v>
      </c>
      <c r="B26" s="105" t="inlineStr">
        <is>
          <t>sala principal</t>
        </is>
      </c>
      <c r="C26" s="106" t="inlineStr">
        <is>
          <t>Mantel redondo ×8</t>
        </is>
      </c>
      <c r="D26" s="119" t="n">
        <v>256000</v>
      </c>
      <c r="E26" s="61">
        <f>D26/TABLERO!$C$4</f>
        <v/>
      </c>
      <c r="F26" s="120" t="inlineStr">
        <is>
          <t>NO</t>
        </is>
      </c>
      <c r="G26" s="121">
        <f>IF(F26="SÍ",D26,0)</f>
        <v/>
      </c>
      <c r="H26" s="105" t="inlineStr"/>
    </row>
    <row r="27">
      <c r="A27" s="87" t="inlineStr">
        <is>
          <t xml:space="preserve">  MOBILIARIO · camarín de speakers</t>
        </is>
      </c>
      <c r="B27" s="88" t="n"/>
      <c r="C27" s="88" t="n"/>
      <c r="D27" s="88" t="n"/>
      <c r="E27" s="88" t="n"/>
      <c r="F27" s="88" t="n"/>
      <c r="G27" s="88" t="n"/>
      <c r="H27" s="88" t="n"/>
    </row>
    <row r="28">
      <c r="A28" s="105" t="n">
        <v>19</v>
      </c>
      <c r="B28" s="105" t="inlineStr">
        <is>
          <t>camarín de speakers</t>
        </is>
      </c>
      <c r="C28" s="106" t="inlineStr">
        <is>
          <t>Mesa redonda 1,60 ×1</t>
        </is>
      </c>
      <c r="D28" s="119" t="n">
        <v>118000</v>
      </c>
      <c r="E28" s="61">
        <f>D28/TABLERO!$C$4</f>
        <v/>
      </c>
      <c r="F28" s="120" t="inlineStr">
        <is>
          <t>NO</t>
        </is>
      </c>
      <c r="G28" s="121">
        <f>IF(F28="SÍ",D28,0)</f>
        <v/>
      </c>
      <c r="H28" s="105" t="inlineStr"/>
    </row>
    <row r="29">
      <c r="A29" s="105" t="n">
        <v>20</v>
      </c>
      <c r="B29" s="105" t="inlineStr">
        <is>
          <t>camarín de speakers</t>
        </is>
      </c>
      <c r="C29" s="106" t="inlineStr">
        <is>
          <t>Espejo ×1</t>
        </is>
      </c>
      <c r="D29" s="119" t="n">
        <v>79500</v>
      </c>
      <c r="E29" s="61">
        <f>D29/TABLERO!$C$4</f>
        <v/>
      </c>
      <c r="F29" s="120" t="inlineStr">
        <is>
          <t>NO</t>
        </is>
      </c>
      <c r="G29" s="121">
        <f>IF(F29="SÍ",D29,0)</f>
        <v/>
      </c>
      <c r="H29" s="105" t="inlineStr"/>
    </row>
    <row r="30">
      <c r="A30" s="105" t="n">
        <v>21</v>
      </c>
      <c r="B30" s="105" t="inlineStr">
        <is>
          <t>camarín de speakers</t>
        </is>
      </c>
      <c r="C30" s="106" t="inlineStr">
        <is>
          <t>Juego de living (sillones + mesa ratona)</t>
        </is>
      </c>
      <c r="D30" s="119" t="n">
        <v>1103642</v>
      </c>
      <c r="E30" s="61">
        <f>D30/TABLERO!$C$4</f>
        <v/>
      </c>
      <c r="F30" s="120" t="inlineStr">
        <is>
          <t>NO</t>
        </is>
      </c>
      <c r="G30" s="121">
        <f>IF(F30="SÍ",D30,0)</f>
        <v/>
      </c>
      <c r="H30" s="105" t="inlineStr">
        <is>
          <t>El mobiliario "más fino" del camarín: candidato a contratárselo a La Rural.</t>
        </is>
      </c>
    </row>
    <row r="31">
      <c r="A31" s="105" t="n">
        <v>22</v>
      </c>
      <c r="B31" s="105" t="inlineStr">
        <is>
          <t>camarín de speakers</t>
        </is>
      </c>
      <c r="C31" s="106" t="inlineStr">
        <is>
          <t>Perchero de pie ×1</t>
        </is>
      </c>
      <c r="D31" s="119" t="n">
        <v>40000</v>
      </c>
      <c r="E31" s="61">
        <f>D31/TABLERO!$C$4</f>
        <v/>
      </c>
      <c r="F31" s="120" t="inlineStr">
        <is>
          <t>NO</t>
        </is>
      </c>
      <c r="G31" s="121">
        <f>IF(F31="SÍ",D31,0)</f>
        <v/>
      </c>
      <c r="H31" s="105" t="inlineStr"/>
    </row>
    <row r="32">
      <c r="A32" s="105" t="n">
        <v>23</v>
      </c>
      <c r="B32" s="105" t="inlineStr">
        <is>
          <t>camarín de speakers</t>
        </is>
      </c>
      <c r="C32" s="106" t="inlineStr">
        <is>
          <t>Tacho de basura grande ×1</t>
        </is>
      </c>
      <c r="D32" s="119" t="n">
        <v>56300</v>
      </c>
      <c r="E32" s="61">
        <f>D32/TABLERO!$C$4</f>
        <v/>
      </c>
      <c r="F32" s="120" t="inlineStr">
        <is>
          <t>NO</t>
        </is>
      </c>
      <c r="G32" s="121">
        <f>IF(F32="SÍ",D32,0)</f>
        <v/>
      </c>
      <c r="H32" s="105" t="inlineStr"/>
    </row>
    <row r="33">
      <c r="A33" s="87" t="inlineStr">
        <is>
          <t xml:space="preserve">  MOBILIARIO · escenario y técnica</t>
        </is>
      </c>
      <c r="B33" s="88" t="n"/>
      <c r="C33" s="88" t="n"/>
      <c r="D33" s="88" t="n"/>
      <c r="E33" s="88" t="n"/>
      <c r="F33" s="88" t="n"/>
      <c r="G33" s="88" t="n"/>
      <c r="H33" s="88" t="n"/>
    </row>
    <row r="34">
      <c r="A34" s="105" t="n">
        <v>24</v>
      </c>
      <c r="B34" s="105" t="inlineStr">
        <is>
          <t>escenario y técnica</t>
        </is>
      </c>
      <c r="C34" s="106" t="inlineStr">
        <is>
          <t>Mesa cocktail alta (escenario) ×1</t>
        </is>
      </c>
      <c r="D34" s="119" t="n">
        <v>45000</v>
      </c>
      <c r="E34" s="61">
        <f>D34/TABLERO!$C$4</f>
        <v/>
      </c>
      <c r="F34" s="120" t="inlineStr">
        <is>
          <t>NO</t>
        </is>
      </c>
      <c r="G34" s="121">
        <f>IF(F34="SÍ",D34,0)</f>
        <v/>
      </c>
      <c r="H34" s="105" t="inlineStr"/>
    </row>
    <row r="35">
      <c r="A35" s="105" t="n">
        <v>25</v>
      </c>
      <c r="B35" s="105" t="inlineStr">
        <is>
          <t>escenario y técnica</t>
        </is>
      </c>
      <c r="C35" s="106" t="inlineStr">
        <is>
          <t>Mesa alta para DJ ×1</t>
        </is>
      </c>
      <c r="D35" s="119" t="n">
        <v>62300</v>
      </c>
      <c r="E35" s="61">
        <f>D35/TABLERO!$C$4</f>
        <v/>
      </c>
      <c r="F35" s="120" t="inlineStr">
        <is>
          <t>NO</t>
        </is>
      </c>
      <c r="G35" s="121">
        <f>IF(F35="SÍ",D35,0)</f>
        <v/>
      </c>
      <c r="H35" s="105" t="inlineStr"/>
    </row>
    <row r="36">
      <c r="A36" s="87" t="inlineStr">
        <is>
          <t xml:space="preserve">  GENERALES</t>
        </is>
      </c>
      <c r="B36" s="88" t="n"/>
      <c r="C36" s="88" t="n"/>
      <c r="D36" s="88" t="n"/>
      <c r="E36" s="88" t="n"/>
      <c r="F36" s="88" t="n"/>
      <c r="G36" s="88" t="n"/>
      <c r="H36" s="88" t="n"/>
    </row>
    <row r="37">
      <c r="A37" s="105" t="n">
        <v>26</v>
      </c>
      <c r="B37" s="105" t="inlineStr">
        <is>
          <t>GENERALES</t>
        </is>
      </c>
      <c r="C37" s="106" t="inlineStr">
        <is>
          <t>Dirección técnica de todo el evento + replanteo</t>
        </is>
      </c>
      <c r="D37" s="119" t="n">
        <v>5149179.2</v>
      </c>
      <c r="E37" s="61">
        <f>D37/TABLERO!$C$4</f>
        <v/>
      </c>
      <c r="F37" s="120" t="inlineStr">
        <is>
          <t>SÍ</t>
        </is>
      </c>
      <c r="G37" s="121">
        <f>IF(F37="SÍ",D37,0)</f>
        <v/>
      </c>
      <c r="H37" s="105" t="inlineStr">
        <is>
          <t>Ojo: el replanteo de sillas va aparte, con ingeniero propio.</t>
        </is>
      </c>
    </row>
    <row r="38">
      <c r="A38" s="105" t="n">
        <v>27</v>
      </c>
      <c r="B38" s="105" t="inlineStr">
        <is>
          <t>GENERALES</t>
        </is>
      </c>
      <c r="C38" s="106" t="inlineStr">
        <is>
          <t>Guardia eléctrica × 2 días</t>
        </is>
      </c>
      <c r="D38" s="119" t="n">
        <v>865800</v>
      </c>
      <c r="E38" s="61">
        <f>D38/TABLERO!$C$4</f>
        <v/>
      </c>
      <c r="F38" s="120" t="inlineStr">
        <is>
          <t>SÍ</t>
        </is>
      </c>
      <c r="G38" s="121">
        <f>IF(F38="SÍ",D38,0)</f>
        <v/>
      </c>
      <c r="H38" s="105" t="inlineStr"/>
    </row>
    <row r="39">
      <c r="A39" s="105" t="n">
        <v>28</v>
      </c>
      <c r="B39" s="105" t="inlineStr">
        <is>
          <t>GENERALES</t>
        </is>
      </c>
      <c r="C39" s="106" t="inlineStr">
        <is>
          <t>Guardia técnica × 2 días</t>
        </is>
      </c>
      <c r="D39" s="119" t="n">
        <v>905200</v>
      </c>
      <c r="E39" s="61">
        <f>D39/TABLERO!$C$4</f>
        <v/>
      </c>
      <c r="F39" s="120" t="inlineStr">
        <is>
          <t>SÍ</t>
        </is>
      </c>
      <c r="G39" s="121">
        <f>IF(F39="SÍ",D39,0)</f>
        <v/>
      </c>
      <c r="H39" s="105" t="inlineStr"/>
    </row>
    <row r="41">
      <c r="C41" s="3" t="inlineStr">
        <is>
          <t>TOTAL del presupuesto de La Rural</t>
        </is>
      </c>
      <c r="D41" s="122">
        <f>SUM(D6:D39)</f>
        <v/>
      </c>
      <c r="E41" s="19">
        <f>D41/TABLERO!$C$4</f>
        <v/>
      </c>
    </row>
    <row r="42">
      <c r="C42" s="3" t="inlineStr">
        <is>
          <t>Lo que se queda (marcado SÍ)</t>
        </is>
      </c>
      <c r="D42" s="123">
        <f>SUM(G6:G39)</f>
        <v/>
      </c>
      <c r="E42" s="91">
        <f>D42/TABLERO!$C$4</f>
        <v/>
      </c>
    </row>
    <row r="43">
      <c r="C43" s="3" t="inlineStr">
        <is>
          <t>Lo que se saca (marcado NO)</t>
        </is>
      </c>
      <c r="D43" s="124">
        <f>D41-D42</f>
        <v/>
      </c>
      <c r="E43" s="125">
        <f>D43/TABLERO!$C$4</f>
        <v/>
      </c>
    </row>
    <row r="45">
      <c r="C45" s="2" t="inlineStr">
        <is>
          <t>Lo marcado hoy es el escenario provisional cargado en COSTOS UNIFICADOS: panelería + dirección técnica + guardias. Cambiá los SÍ/NO y llevá el nuevo total a esa hoja.</t>
        </is>
      </c>
    </row>
  </sheetData>
  <mergeCells count="7">
    <mergeCell ref="A9:H9"/>
    <mergeCell ref="A33:H33"/>
    <mergeCell ref="A36:H36"/>
    <mergeCell ref="A5:H5"/>
    <mergeCell ref="A27:H27"/>
    <mergeCell ref="A22:H22"/>
    <mergeCell ref="A17:H17"/>
  </mergeCells>
  <dataValidations count="1">
    <dataValidation sqref="F6 F7 F8 F10 F11 F12 F13 F14 F15 F16 F18 F19 F20 F21 F23 F24 F25 F26 F28 F29 F30 F31 F32 F34 F35 F37 F38 F39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2026-09-03T20:18:54Z</dcterms:created>
  <dcterms:modified xsi:type="dcterms:W3CDTF">2026-09-03T20:18:54Z</dcterms:modified>
</cp:coreProperties>
</file>