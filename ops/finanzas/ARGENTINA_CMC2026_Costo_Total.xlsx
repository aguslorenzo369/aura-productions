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PAGOS" sheetId="5" state="visible" r:id="rId5"/>
    <sheet name="DECISIONES" sheetId="6" state="visible" r:id="rId6"/>
    <sheet name="AHORROS" sheetId="7" state="visible" r:id="rId7"/>
    <sheet name="COTIZACIONES TÉCNICA" sheetId="8" state="visible" r:id="rId8"/>
    <sheet name="INFRAESTRUCTURA" sheetId="9" state="visible" r:id="rId9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1F3864"/>
      <sz val="9"/>
    </font>
    <font>
      <name val="Arial"/>
      <b val="1"/>
      <color rgb="00C00000"/>
      <sz val="11"/>
    </font>
    <font>
      <name val="Arial"/>
      <b val="1"/>
      <color rgb="00C00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13" fillId="8" borderId="0" pivotButton="0" quotePrefix="0" xfId="0"/>
    <xf numFmtId="0" fontId="0" fillId="8" borderId="0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0" fontId="0" fillId="0" borderId="1" pivotButton="0" quotePrefix="0" xfId="0"/>
    <xf numFmtId="165" fontId="3" fillId="4" borderId="1" pivotButton="0" quotePrefix="0" xfId="0"/>
    <xf numFmtId="165" fontId="11" fillId="3" borderId="1" pivotButton="0" quotePrefix="0" xfId="0"/>
    <xf numFmtId="0" fontId="14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5" fillId="0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42" customHeight="1">
      <c r="A49" s="30" t="inlineStr">
        <is>
          <t>Unifilas</t>
        </is>
      </c>
      <c r="B49" s="31" t="inlineStr">
        <is>
          <t>A definir</t>
        </is>
      </c>
      <c r="C49" s="32" t="inlineStr">
        <is>
          <t>Estimado del sheet, sin cotización</t>
        </is>
      </c>
      <c r="D49" s="30" t="inlineStr">
        <is>
          <t>Sin cotizar</t>
        </is>
      </c>
      <c r="E49" s="31" t="inlineStr">
        <is>
          <t>USD</t>
        </is>
      </c>
      <c r="F49" s="38" t="n"/>
      <c r="G49" s="34" t="n"/>
      <c r="H49" s="37">
        <f>IF(F49="","",F49*(1+N(G49)))</f>
        <v/>
      </c>
      <c r="I49" s="36" t="n">
        <v>1</v>
      </c>
      <c r="J49" s="37">
        <f>IF(OR(D49="Bonificado",D49="Reemplazado"),0,N(I49)*IF(H49="",N(K49),IF(E49="USD",H49,H49/TABLERO!$C$4)))</f>
        <v/>
      </c>
      <c r="K49" s="38" t="n">
        <v>1200</v>
      </c>
      <c r="L49" s="37">
        <f>IF(D49="Alternativa","",J49-N(K49))</f>
        <v/>
      </c>
      <c r="M49" s="39" t="inlineStr">
        <is>
          <t>Hoja Argentina del master</t>
        </is>
      </c>
    </row>
    <row r="50" ht="42" customHeight="1">
      <c r="A50" s="42" t="inlineStr">
        <is>
          <t>Vallado (500 vallas)</t>
        </is>
      </c>
      <c r="B50" s="43" t="inlineStr">
        <is>
          <t>Bonificado por técnica</t>
        </is>
      </c>
      <c r="C50" s="44" t="inlineStr">
        <is>
          <t>Las 500 vallas las regala el proveedor de técnica. Estaban presupuestadas en US$1.250.</t>
        </is>
      </c>
      <c r="D50" s="42" t="inlineStr">
        <is>
          <t>Bonificado</t>
        </is>
      </c>
      <c r="E50" s="43" t="inlineStr">
        <is>
          <t>USD</t>
        </is>
      </c>
      <c r="F50" s="45" t="n"/>
      <c r="G50" s="46" t="n"/>
      <c r="H50" s="47">
        <f>IF(F50="","",F50*(1+N(G50)))</f>
        <v/>
      </c>
      <c r="I50" s="48" t="n">
        <v>1</v>
      </c>
      <c r="J50" s="47">
        <f>IF(OR(D50="Bonificado",D50="Reemplazado"),0,N(I50)*IF(H50="",N(K50),IF(E50="USD",H50,H50/TABLERO!$C$4)))</f>
        <v/>
      </c>
      <c r="K50" s="45" t="n">
        <v>1250</v>
      </c>
      <c r="L50" s="47">
        <f>IF(D50="Alternativa","",J50-N(K50))</f>
        <v/>
      </c>
      <c r="M50" s="49" t="inlineStr">
        <is>
          <t>Negociación de Agustina</t>
        </is>
      </c>
    </row>
    <row r="51" ht="42" customHeight="1">
      <c r="A51" s="30" t="inlineStr">
        <is>
          <t>DJ</t>
        </is>
      </c>
      <c r="B51" s="31" t="inlineStr">
        <is>
          <t>A definir</t>
        </is>
      </c>
      <c r="C51" s="32" t="inlineStr">
        <is>
          <t>Estimado del sheet</t>
        </is>
      </c>
      <c r="D51" s="30" t="inlineStr">
        <is>
          <t>Sin cotizar</t>
        </is>
      </c>
      <c r="E51" s="31" t="inlineStr">
        <is>
          <t>USD</t>
        </is>
      </c>
      <c r="F51" s="38" t="n"/>
      <c r="G51" s="34" t="n"/>
      <c r="H51" s="37">
        <f>IF(F51="","",F51*(1+N(G51)))</f>
        <v/>
      </c>
      <c r="I51" s="36" t="n">
        <v>1</v>
      </c>
      <c r="J51" s="37">
        <f>IF(OR(D51="Bonificado",D51="Reemplazado"),0,N(I51)*IF(H51="",N(K51),IF(E51="USD",H51,H51/TABLERO!$C$4)))</f>
        <v/>
      </c>
      <c r="K51" s="38" t="n">
        <v>500</v>
      </c>
      <c r="L51" s="37">
        <f>IF(D51="Alternativa","",J51-N(K51))</f>
        <v/>
      </c>
      <c r="M51" s="39" t="inlineStr">
        <is>
          <t>Hoja Argentina del master</t>
        </is>
      </c>
    </row>
    <row r="52" ht="42" customHeight="1">
      <c r="A52" s="30" t="inlineStr">
        <is>
          <t>Escoltas (2)</t>
        </is>
      </c>
      <c r="B52" s="31" t="inlineStr">
        <is>
          <t>A definir</t>
        </is>
      </c>
      <c r="C52" s="32" t="inlineStr">
        <is>
          <t>Estimado del sheet</t>
        </is>
      </c>
      <c r="D52" s="30" t="inlineStr">
        <is>
          <t>Sin cotizar</t>
        </is>
      </c>
      <c r="E52" s="31" t="inlineStr">
        <is>
          <t>USD</t>
        </is>
      </c>
      <c r="F52" s="38" t="n"/>
      <c r="G52" s="34" t="n"/>
      <c r="H52" s="37">
        <f>IF(F52="","",F52*(1+N(G52)))</f>
        <v/>
      </c>
      <c r="I52" s="36" t="n">
        <v>1</v>
      </c>
      <c r="J52" s="37">
        <f>IF(OR(D52="Bonificado",D52="Reemplazado"),0,N(I52)*IF(H52="",N(K52),IF(E52="USD",H52,H52/TABLERO!$C$4)))</f>
        <v/>
      </c>
      <c r="K52" s="38" t="n">
        <v>1000</v>
      </c>
      <c r="L52" s="37">
        <f>IF(D52="Alternativa","",J52-N(K52))</f>
        <v/>
      </c>
      <c r="M52" s="39" t="inlineStr">
        <is>
          <t>Hoja Argentina del master</t>
        </is>
      </c>
    </row>
    <row r="53" ht="42" customHeight="1">
      <c r="A53" s="30" t="inlineStr">
        <is>
          <t>Master Mind Hit</t>
        </is>
      </c>
      <c r="B53" s="31" t="inlineStr">
        <is>
          <t>A definir</t>
        </is>
      </c>
      <c r="C53" s="32" t="inlineStr">
        <is>
          <t>Sala adicional</t>
        </is>
      </c>
      <c r="D53" s="30" t="inlineStr">
        <is>
          <t>Sin cotizar</t>
        </is>
      </c>
      <c r="E53" s="31" t="inlineStr">
        <is>
          <t>USD</t>
        </is>
      </c>
      <c r="F53" s="38" t="n"/>
      <c r="G53" s="34" t="n"/>
      <c r="H53" s="37">
        <f>IF(F53="","",F53*(1+N(G53)))</f>
        <v/>
      </c>
      <c r="I53" s="36" t="n">
        <v>1</v>
      </c>
      <c r="J53" s="37">
        <f>IF(OR(D53="Bonificado",D53="Reemplazado"),0,N(I53)*IF(H53="",N(K53),IF(E53="USD",H53,H53/TABLERO!$C$4)))</f>
        <v/>
      </c>
      <c r="K53" s="38" t="n">
        <v>3000</v>
      </c>
      <c r="L53" s="37">
        <f>IF(D53="Alternativa","",J53-N(K53))</f>
        <v/>
      </c>
      <c r="M53" s="39" t="inlineStr">
        <is>
          <t>Hoja Argentina del master</t>
        </is>
      </c>
    </row>
    <row r="54" ht="42" customHeight="1">
      <c r="A54" s="30" t="inlineStr">
        <is>
          <t>Personal logístico</t>
        </is>
      </c>
      <c r="B54" s="31" t="inlineStr">
        <is>
          <t>A definir</t>
        </is>
      </c>
      <c r="C54" s="32" t="inlineStr">
        <is>
          <t>La hoja del master lo tiene en US$0</t>
        </is>
      </c>
      <c r="D54" s="30" t="inlineStr">
        <is>
          <t>Sin cotizar</t>
        </is>
      </c>
      <c r="E54" s="31" t="inlineStr">
        <is>
          <t>USD</t>
        </is>
      </c>
      <c r="F54" s="38" t="n"/>
      <c r="G54" s="34" t="n"/>
      <c r="H54" s="37">
        <f>IF(F54="","",F54*(1+N(G54)))</f>
        <v/>
      </c>
      <c r="I54" s="36" t="n">
        <v>1</v>
      </c>
      <c r="J54" s="37">
        <f>IF(OR(D54="Bonificado",D54="Reemplazado"),0,N(I54)*IF(H54="",N(K54),IF(E54="USD",H54,H54/TABLERO!$C$4)))</f>
        <v/>
      </c>
      <c r="K54" s="38" t="n"/>
      <c r="L54" s="37">
        <f>IF(D54="Alternativa","",J54-N(K54))</f>
        <v/>
      </c>
      <c r="M54" s="39" t="inlineStr">
        <is>
          <t>Hoja Argentina del master · valor en cero</t>
        </is>
      </c>
    </row>
    <row r="55" ht="42" customHeight="1">
      <c r="A55" s="9" t="inlineStr">
        <is>
          <t>Intercoms</t>
        </is>
      </c>
      <c r="B55" s="10" t="inlineStr">
        <is>
          <t>Proveedor a confirmar</t>
        </is>
      </c>
      <c r="C55" s="11" t="inlineStr">
        <is>
          <t>Ya comprados y pagados al 100%. El master los tenía en 2 cuotas al 24/08 y 23/09, sin abonar.</t>
        </is>
      </c>
      <c r="D55" s="9" t="inlineStr">
        <is>
          <t>Cerrado</t>
        </is>
      </c>
      <c r="E55" s="10" t="inlineStr">
        <is>
          <t>USD</t>
        </is>
      </c>
      <c r="F55" s="12" t="n">
        <v>560</v>
      </c>
      <c r="G55" s="13" t="n"/>
      <c r="H55" s="14">
        <f>IF(F55="","",F55*(1+N(G55)))</f>
        <v/>
      </c>
      <c r="I55" s="15" t="n">
        <v>1</v>
      </c>
      <c r="J55" s="14">
        <f>IF(OR(D55="Bonificado",D55="Reemplazado"),0,N(I55)*IF(H55="",N(K55),IF(E55="USD",H55,H55/TABLERO!$C$4)))</f>
        <v/>
      </c>
      <c r="K55" s="12" t="n"/>
      <c r="L55" s="14">
        <f>IF(D55="Alternativa","",J55-N(K55))</f>
        <v/>
      </c>
      <c r="M55" s="16" t="inlineStr">
        <is>
          <t>Confirmado por Agustina el 03/09</t>
        </is>
      </c>
    </row>
    <row r="56">
      <c r="A56" s="17" t="inlineStr">
        <is>
          <t>Subtotal Producción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9">
        <f>SUMIF($D$49:$D$55,"&lt;&gt;Alternativa",$J$49:$J$55)</f>
        <v/>
      </c>
      <c r="K56" s="19">
        <f>SUM($K$49:$K$55)</f>
        <v/>
      </c>
      <c r="L56" s="19">
        <f>J56-K56</f>
        <v/>
      </c>
      <c r="M56" s="18" t="n"/>
    </row>
    <row r="57" ht="20" customHeight="1">
      <c r="A57" s="7" t="inlineStr">
        <is>
          <t>EQUIPO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42" customHeight="1">
      <c r="A58" s="30" t="inlineStr">
        <is>
          <t>Vuelos del equipo</t>
        </is>
      </c>
      <c r="B58" s="31" t="inlineStr">
        <is>
          <t>Sin cotizar</t>
        </is>
      </c>
      <c r="C58" s="32" t="inlineStr">
        <is>
          <t>No hay ninguna cotización de vuelos a Buenos Aires en el correo ni monto en la hoja del master</t>
        </is>
      </c>
      <c r="D58" s="30" t="inlineStr">
        <is>
          <t>Sin cotizar</t>
        </is>
      </c>
      <c r="E58" s="31" t="inlineStr">
        <is>
          <t>USD</t>
        </is>
      </c>
      <c r="F58" s="38" t="n"/>
      <c r="G58" s="34" t="n"/>
      <c r="H58" s="37">
        <f>IF(F58="","",F58*(1+N(G58)))</f>
        <v/>
      </c>
      <c r="I58" s="36" t="n">
        <v>1</v>
      </c>
      <c r="J58" s="37">
        <f>IF(OR(D58="Bonificado",D58="Reemplazado"),0,N(I58)*IF(H58="",N(K58),IF(E58="USD",H58,H58/TABLERO!$C$4)))</f>
        <v/>
      </c>
      <c r="K58" s="38" t="n"/>
      <c r="L58" s="37">
        <f>IF(D58="Alternativa","",J58-N(K58))</f>
        <v/>
      </c>
      <c r="M58" s="39" t="inlineStr">
        <is>
          <t>No encontrado</t>
        </is>
      </c>
    </row>
    <row r="59" ht="42" customHeight="1">
      <c r="A59" s="30" t="inlineStr">
        <is>
          <t>Alojamiento del equipo</t>
        </is>
      </c>
      <c r="B59" s="31" t="inlineStr">
        <is>
          <t>Sin cotizar</t>
        </is>
      </c>
      <c r="C59" s="32" t="inlineStr">
        <is>
          <t>No hay cotización de hotel en Buenos Aires en el correo ni monto en la hoja del master</t>
        </is>
      </c>
      <c r="D59" s="30" t="inlineStr">
        <is>
          <t>Sin cotizar</t>
        </is>
      </c>
      <c r="E59" s="31" t="inlineStr">
        <is>
          <t>USD</t>
        </is>
      </c>
      <c r="F59" s="38" t="n"/>
      <c r="G59" s="34" t="n"/>
      <c r="H59" s="37">
        <f>IF(F59="","",F59*(1+N(G59)))</f>
        <v/>
      </c>
      <c r="I59" s="36" t="n">
        <v>1</v>
      </c>
      <c r="J59" s="37">
        <f>IF(OR(D59="Bonificado",D59="Reemplazado"),0,N(I59)*IF(H59="",N(K59),IF(E59="USD",H59,H59/TABLERO!$C$4)))</f>
        <v/>
      </c>
      <c r="K59" s="38" t="n"/>
      <c r="L59" s="37">
        <f>IF(D59="Alternativa","",J59-N(K59))</f>
        <v/>
      </c>
      <c r="M59" s="39" t="inlineStr">
        <is>
          <t>No encontrado</t>
        </is>
      </c>
    </row>
    <row r="60" ht="42" customHeight="1">
      <c r="A60" s="30" t="inlineStr">
        <is>
          <t>Traslados internos y viáticos</t>
        </is>
      </c>
      <c r="B60" s="31" t="inlineStr">
        <is>
          <t>Sin cotizar</t>
        </is>
      </c>
      <c r="C60" s="32" t="inlineStr">
        <is>
          <t>Sin registro</t>
        </is>
      </c>
      <c r="D60" s="30" t="inlineStr">
        <is>
          <t>Sin cotizar</t>
        </is>
      </c>
      <c r="E60" s="31" t="inlineStr">
        <is>
          <t>USD</t>
        </is>
      </c>
      <c r="F60" s="38" t="n"/>
      <c r="G60" s="34" t="n"/>
      <c r="H60" s="37">
        <f>IF(F60="","",F60*(1+N(G60)))</f>
        <v/>
      </c>
      <c r="I60" s="36" t="n">
        <v>1</v>
      </c>
      <c r="J60" s="37">
        <f>IF(OR(D60="Bonificado",D60="Reemplazado"),0,N(I60)*IF(H60="",N(K60),IF(E60="USD",H60,H60/TABLERO!$C$4)))</f>
        <v/>
      </c>
      <c r="K60" s="38" t="n"/>
      <c r="L60" s="37">
        <f>IF(D60="Alternativa","",J60-N(K60))</f>
        <v/>
      </c>
      <c r="M60" s="39" t="inlineStr">
        <is>
          <t>No encontrado</t>
        </is>
      </c>
    </row>
    <row r="61">
      <c r="A61" s="17" t="inlineStr">
        <is>
          <t>Subtotal Equipo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J61" s="19">
        <f>SUMIF($D$58:$D$60,"&lt;&gt;Alternativa",$J$58:$J$60)</f>
        <v/>
      </c>
      <c r="K61" s="19">
        <f>SUM($K$58:$K$60)</f>
        <v/>
      </c>
      <c r="L61" s="19">
        <f>J61-K61</f>
        <v/>
      </c>
      <c r="M61" s="18" t="n"/>
    </row>
    <row r="63">
      <c r="A63" s="52" t="inlineStr">
        <is>
          <t>COSTO TOTAL DEL EVENTO</t>
        </is>
      </c>
      <c r="J63" s="53">
        <f>J7+J10+J15+J21+J30+J43+J47+J56+J61</f>
        <v/>
      </c>
      <c r="K63" s="53">
        <f>K7+K10+K15+K21+K30+K43+K47+K56+K61</f>
        <v/>
      </c>
      <c r="L63" s="53">
        <f>L7+L10+L15+L21+L30+L43+L47+L56+L61</f>
        <v/>
      </c>
    </row>
  </sheetData>
  <autoFilter ref="A4:M4"/>
  <mergeCells count="9">
    <mergeCell ref="A44:M44"/>
    <mergeCell ref="A5:M5"/>
    <mergeCell ref="A8:M8"/>
    <mergeCell ref="A31:M31"/>
    <mergeCell ref="A22:M22"/>
    <mergeCell ref="A48:M48"/>
    <mergeCell ref="A57:M57"/>
    <mergeCell ref="A16:M16"/>
    <mergeCell ref="A11:M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UNIFICADOS'!J63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UNIFICADOS'!K63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UNIFICADOS'!L63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K5*H5/TABLERO!$C$4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K9*H9/TABLERO!$C$4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K10*H10/TABLERO!$C$4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 xml:space="preserve">  ARGENTINA</t>
        </is>
      </c>
      <c r="B24" s="88" t="n"/>
      <c r="C24" s="88" t="n"/>
      <c r="D24" s="88" t="n"/>
      <c r="E24" s="88" t="n"/>
      <c r="F24" s="88" t="n"/>
      <c r="G24" s="88" t="n"/>
      <c r="H24" s="88" t="n"/>
    </row>
    <row r="25">
      <c r="A25" s="89" t="inlineStr">
        <is>
          <t>Remeras estampadas</t>
        </is>
      </c>
      <c r="B25" s="59" t="inlineStr">
        <is>
          <t>100</t>
        </is>
      </c>
      <c r="C25" s="90" t="n">
        <v>16.17</v>
      </c>
      <c r="D25" s="90" t="n">
        <v>1617.16</v>
      </c>
      <c r="E25" s="90" t="n">
        <v>9.31</v>
      </c>
      <c r="F25" s="90" t="n">
        <v>931.35</v>
      </c>
      <c r="G25" s="91">
        <f>D25-F25</f>
        <v/>
      </c>
      <c r="H25" s="92">
        <f>G25/D25</f>
        <v/>
      </c>
    </row>
    <row r="26">
      <c r="A26" s="89" t="inlineStr">
        <is>
          <t>Gorras negras</t>
        </is>
      </c>
      <c r="B26" s="59" t="inlineStr">
        <is>
          <t>1.000</t>
        </is>
      </c>
      <c r="C26" s="90" t="n">
        <v>9.9</v>
      </c>
      <c r="D26" s="90" t="n">
        <v>9900.99</v>
      </c>
      <c r="E26" s="90" t="n">
        <v>1.64</v>
      </c>
      <c r="F26" s="90" t="n">
        <v>1636.96</v>
      </c>
      <c r="G26" s="91">
        <f>D26-F26</f>
        <v/>
      </c>
      <c r="H26" s="92">
        <f>G26/D26</f>
        <v/>
      </c>
    </row>
    <row r="27">
      <c r="A27" s="89" t="inlineStr">
        <is>
          <t>Cinta colgante / lanyard</t>
        </is>
      </c>
      <c r="B27" s="59" t="inlineStr">
        <is>
          <t>1.000</t>
        </is>
      </c>
      <c r="C27" s="90" t="n">
        <v>1.25</v>
      </c>
      <c r="D27" s="90" t="n">
        <v>1247.52</v>
      </c>
      <c r="E27" s="90" t="n">
        <v>1</v>
      </c>
      <c r="F27" s="90" t="n">
        <v>1004.95</v>
      </c>
      <c r="G27" s="91">
        <f>D27-F27</f>
        <v/>
      </c>
      <c r="H27" s="92">
        <f>G27/D27</f>
        <v/>
      </c>
    </row>
    <row r="28">
      <c r="A28" s="89" t="inlineStr">
        <is>
          <t>Credenciales 10 × 13 cm</t>
        </is>
      </c>
      <c r="B28" s="59" t="inlineStr">
        <is>
          <t>1.000</t>
        </is>
      </c>
      <c r="C28" s="90" t="n">
        <v>0.57</v>
      </c>
      <c r="D28" s="90" t="n">
        <v>574.65</v>
      </c>
      <c r="E28" s="90" t="n">
        <v>0.48</v>
      </c>
      <c r="F28" s="90" t="n">
        <v>475.06</v>
      </c>
      <c r="G28" s="91">
        <f>D28-F28</f>
        <v/>
      </c>
      <c r="H28" s="92">
        <f>G28/D28</f>
        <v/>
      </c>
    </row>
    <row r="29">
      <c r="A29" s="89" t="inlineStr">
        <is>
          <t>Hojas A4 (contrato)</t>
        </is>
      </c>
      <c r="B29" s="59" t="inlineStr">
        <is>
          <t>5.500</t>
        </is>
      </c>
      <c r="C29" s="90" t="n">
        <v>0.2</v>
      </c>
      <c r="D29" s="90" t="n">
        <v>1107.26</v>
      </c>
      <c r="E29" s="90" t="n">
        <v>0.05</v>
      </c>
      <c r="F29" s="90" t="n">
        <v>265.31</v>
      </c>
      <c r="G29" s="91">
        <f>D29-F29</f>
        <v/>
      </c>
      <c r="H29" s="92">
        <f>G29/D29</f>
        <v/>
      </c>
    </row>
    <row r="30">
      <c r="A30" s="89" t="inlineStr">
        <is>
          <t>Tarjetas 21,5 × 10 cm (cheque)</t>
        </is>
      </c>
      <c r="B30" s="59" t="inlineStr">
        <is>
          <t>5.500</t>
        </is>
      </c>
      <c r="C30" s="90" t="n">
        <v>0.12</v>
      </c>
      <c r="D30" s="90" t="n">
        <v>671.62</v>
      </c>
      <c r="E30" s="90" t="n">
        <v>0.02</v>
      </c>
      <c r="F30" s="90" t="n">
        <v>109.78</v>
      </c>
      <c r="G30" s="91">
        <f>D30-F30</f>
        <v/>
      </c>
      <c r="H30" s="92">
        <f>G30/D30</f>
        <v/>
      </c>
    </row>
    <row r="31">
      <c r="A31" s="89" t="inlineStr">
        <is>
          <t>Bolsas de friselina, 2 colores</t>
        </is>
      </c>
      <c r="B31" s="59" t="inlineStr">
        <is>
          <t>1.000</t>
        </is>
      </c>
      <c r="C31" s="90" t="n">
        <v>1.14</v>
      </c>
      <c r="D31" s="90" t="n">
        <v>1141.91</v>
      </c>
      <c r="E31" s="90" t="n">
        <v>0.64</v>
      </c>
      <c r="F31" s="90" t="n">
        <v>644.55</v>
      </c>
      <c r="G31" s="91">
        <f>D31-F31</f>
        <v/>
      </c>
      <c r="H31" s="92">
        <f>G31/D31</f>
        <v/>
      </c>
    </row>
    <row r="32">
      <c r="A32" s="93" t="inlineStr">
        <is>
          <t>Pulseras tyvek — fuera de la comparación</t>
        </is>
      </c>
      <c r="B32" s="86" t="inlineStr">
        <is>
          <t>5.500</t>
        </is>
      </c>
      <c r="C32" s="94" t="n">
        <v>0.1</v>
      </c>
      <c r="D32" s="94" t="n">
        <v>544.55</v>
      </c>
      <c r="E32" s="94" t="n"/>
      <c r="F32" s="94" t="n"/>
      <c r="G32" s="18" t="n"/>
      <c r="H32" s="18" t="n"/>
    </row>
    <row r="33">
      <c r="A33" s="89" t="inlineStr">
        <is>
          <t>Subtotal Argentina</t>
        </is>
      </c>
      <c r="B33" s="95" t="n"/>
      <c r="C33" s="95" t="n"/>
      <c r="D33" s="19">
        <f>SUMIF($F$25:$F$32,"&lt;&gt;",D25:D32)</f>
        <v/>
      </c>
      <c r="E33" s="95" t="n"/>
      <c r="F33" s="19">
        <f>SUMIF($F$25:$F$32,"&lt;&gt;",F25:F32)</f>
        <v/>
      </c>
      <c r="G33" s="19">
        <f>SUMIF($F$25:$F$32,"&lt;&gt;",G25:G32)</f>
        <v/>
      </c>
      <c r="H33" s="96">
        <f>IFERROR(G33/D33,"")</f>
        <v/>
      </c>
    </row>
    <row r="34">
      <c r="A34" s="87" t="inlineStr">
        <is>
          <t xml:space="preserve">  URUGUAY</t>
        </is>
      </c>
      <c r="B34" s="88" t="n"/>
      <c r="C34" s="88" t="n"/>
      <c r="D34" s="88" t="n"/>
      <c r="E34" s="88" t="n"/>
      <c r="F34" s="88" t="n"/>
      <c r="G34" s="88" t="n"/>
      <c r="H34" s="88" t="n"/>
    </row>
    <row r="35">
      <c r="A35" s="89" t="inlineStr">
        <is>
          <t>Mapas de niveles de consciencia</t>
        </is>
      </c>
      <c r="B35" s="59" t="inlineStr">
        <is>
          <t>3.000</t>
        </is>
      </c>
      <c r="C35" s="90" t="n">
        <v>0.254</v>
      </c>
      <c r="D35" s="90" t="n">
        <v>763</v>
      </c>
      <c r="E35" s="90" t="n">
        <v>0.089</v>
      </c>
      <c r="F35" s="90" t="n">
        <v>266.14</v>
      </c>
      <c r="G35" s="91">
        <f>D35-F35</f>
        <v/>
      </c>
      <c r="H35" s="92">
        <f>G35/D35</f>
        <v/>
      </c>
    </row>
    <row r="36">
      <c r="A36" s="89" t="inlineStr">
        <is>
          <t>Escarapelas / credenciales</t>
        </is>
      </c>
      <c r="B36" s="59" t="inlineStr">
        <is>
          <t>600</t>
        </is>
      </c>
      <c r="C36" s="90" t="n">
        <v>1.322</v>
      </c>
      <c r="D36" s="90" t="n">
        <v>793</v>
      </c>
      <c r="E36" s="90" t="n">
        <v>0.475</v>
      </c>
      <c r="F36" s="90" t="n">
        <v>285.03</v>
      </c>
      <c r="G36" s="91">
        <f>D36-F36</f>
        <v/>
      </c>
      <c r="H36" s="92">
        <f>G36/D36</f>
        <v/>
      </c>
    </row>
    <row r="37">
      <c r="A37" s="89" t="inlineStr">
        <is>
          <t>Contratos (hojas A4)</t>
        </is>
      </c>
      <c r="B37" s="59" t="inlineStr">
        <is>
          <t>3.000</t>
        </is>
      </c>
      <c r="C37" s="90" t="n">
        <v>0.153</v>
      </c>
      <c r="D37" s="90" t="n">
        <v>458</v>
      </c>
      <c r="E37" s="90" t="n">
        <v>0.048</v>
      </c>
      <c r="F37" s="90" t="n">
        <v>144.71</v>
      </c>
      <c r="G37" s="91">
        <f>D37-F37</f>
        <v/>
      </c>
      <c r="H37" s="92">
        <f>G37/D37</f>
        <v/>
      </c>
    </row>
    <row r="38">
      <c r="A38" s="89" t="inlineStr">
        <is>
          <t>Cheques (tarjetas)</t>
        </is>
      </c>
      <c r="B38" s="59" t="inlineStr">
        <is>
          <t>3.000</t>
        </is>
      </c>
      <c r="C38" s="90" t="n">
        <v>0.127</v>
      </c>
      <c r="D38" s="90" t="n">
        <v>382</v>
      </c>
      <c r="E38" s="90" t="n">
        <v>0.02</v>
      </c>
      <c r="F38" s="90" t="n">
        <v>59.88</v>
      </c>
      <c r="G38" s="91">
        <f>D38-F38</f>
        <v/>
      </c>
      <c r="H38" s="92">
        <f>G38/D38</f>
        <v/>
      </c>
    </row>
    <row r="39">
      <c r="A39" s="93" t="inlineStr">
        <is>
          <t>Cordones con mosquetón — fuera de la comparación</t>
        </is>
      </c>
      <c r="B39" s="86" t="inlineStr">
        <is>
          <t>600</t>
        </is>
      </c>
      <c r="C39" s="94" t="n">
        <v>1.5</v>
      </c>
      <c r="D39" s="94" t="n"/>
      <c r="E39" s="94" t="n"/>
      <c r="F39" s="94" t="n"/>
      <c r="G39" s="18" t="n"/>
      <c r="H39" s="18" t="n"/>
    </row>
    <row r="40">
      <c r="A40" s="89" t="inlineStr">
        <is>
          <t>Subtotal Uruguay</t>
        </is>
      </c>
      <c r="B40" s="95" t="n"/>
      <c r="C40" s="95" t="n"/>
      <c r="D40" s="19">
        <f>SUMIF($F$35:$F$39,"&lt;&gt;",D35:D39)</f>
        <v/>
      </c>
      <c r="E40" s="95" t="n"/>
      <c r="F40" s="19">
        <f>SUMIF($F$35:$F$39,"&lt;&gt;",F35:F39)</f>
        <v/>
      </c>
      <c r="G40" s="19">
        <f>SUMIF($F$35:$F$39,"&lt;&gt;",G35:G39)</f>
        <v/>
      </c>
      <c r="H40" s="96">
        <f>IFERROR(G40/D40,"")</f>
        <v/>
      </c>
    </row>
    <row r="41">
      <c r="A41" s="78" t="inlineStr">
        <is>
          <t>TOTAL DE LA CANASTA — ARGENTINA + URUGUAY</t>
        </is>
      </c>
      <c r="D41" s="79">
        <f>D33+D40</f>
        <v/>
      </c>
      <c r="F41" s="79">
        <f>F33+F40</f>
        <v/>
      </c>
      <c r="G41" s="79">
        <f>G33+G40</f>
        <v/>
      </c>
      <c r="H41" s="97">
        <f>G41/D41</f>
        <v/>
      </c>
    </row>
    <row r="43">
      <c r="A43" s="2" t="inlineStr">
        <is>
          <t>La gorra sola explica la mitad del ahorro: el proveedor de Cumbre la cobraba US$9,90 y Agustina la consiguió a US$1,64. Sobre 1.000 unidades son US$8.264.</t>
        </is>
      </c>
    </row>
    <row r="44">
      <c r="A44" s="2" t="inlineStr">
        <is>
          <t>Las pulseras tyvek quedan fuera de los dos lados de la cuenta porque no hay precio comparable del lado argentino.</t>
        </is>
      </c>
    </row>
    <row r="45">
      <c r="A45" s="2" t="inlineStr">
        <is>
          <t>OJO: esta canasta NO es el total del rubro merch. Los pañuelos (US$6.973) y el bordado de gorras (US$1.750) no entran en la comparación, y las cantidades</t>
        </is>
      </c>
    </row>
    <row r="46">
      <c r="A46" s="2" t="inlineStr">
        <is>
          <t>del sitio no son exactamente las de las facturas finales (remeras 100 contra 250, gorras 1.000 contra 940). Sirve para medir el ahorro por precio unitario,</t>
        </is>
      </c>
    </row>
    <row r="47">
      <c r="A47" s="2" t="inlineStr">
        <is>
          <t>no para reemplazar el costo del rubro, que sale de las nueve facturas de arriba.</t>
        </is>
      </c>
    </row>
    <row r="48">
      <c r="A48" s="2" t="inlineStr">
        <is>
          <t>Uruguay va con su propio subtotal: US$2.396,00 contra US$755,77, US$1.640,23 de ahorro. Es la misma negociación con los mismos proveedores, pero NO entra en el costo del evento de Argentina.</t>
        </is>
      </c>
    </row>
    <row r="49">
      <c r="A49" s="2" t="inlineStr">
        <is>
          <t>Los cordones con mosquetón de Uruguay quedan fuera de la cuenta por la misma razón que las pulseras tyvek: no hay precio comparable del lado argentino.</t>
        </is>
      </c>
    </row>
    <row r="50">
      <c r="A50" s="2" t="inlineStr">
        <is>
          <t>Sumando los dos países, la canasta pasa de US$18.657,12 a US$5.823,74: US$12.833,38 de ahorro, un 68,8%.</t>
        </is>
      </c>
    </row>
    <row r="52">
      <c r="A52" s="98" t="inlineStr">
        <is>
          <t>TRES COSAS QUE HAY QUE CONFIRMAR</t>
        </is>
      </c>
    </row>
    <row r="53" ht="30" customHeight="1">
      <c r="A53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54" ht="30" customHeight="1">
      <c r="A54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55" ht="30" customHeight="1">
      <c r="A55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9">
    <mergeCell ref="A55:O55"/>
    <mergeCell ref="A16:F16"/>
    <mergeCell ref="A54:O54"/>
    <mergeCell ref="A19:F19"/>
    <mergeCell ref="A24:H24"/>
    <mergeCell ref="A17:F17"/>
    <mergeCell ref="A18:F18"/>
    <mergeCell ref="A53:O53"/>
    <mergeCell ref="A34:H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  <c r="B5" s="8" t="n"/>
      <c r="C5" s="8" t="n"/>
      <c r="D5" s="8" t="n"/>
      <c r="E5" s="8" t="n"/>
      <c r="F5" s="8" t="n"/>
    </row>
    <row r="6">
      <c r="A6" s="99" t="inlineStr">
        <is>
          <t>Sede</t>
        </is>
      </c>
      <c r="B6" s="81" t="inlineStr">
        <is>
          <t>La Rural — anticipo del contrato</t>
        </is>
      </c>
      <c r="C6" s="100" t="inlineStr">
        <is>
          <t>27/04/2026</t>
        </is>
      </c>
      <c r="D6" s="91" t="n">
        <v>43446</v>
      </c>
      <c r="E6" s="81" t="inlineStr">
        <is>
          <t>Pagado</t>
        </is>
      </c>
      <c r="F6" s="99" t="inlineStr">
        <is>
          <t>Hoja PAGOS del master</t>
        </is>
      </c>
    </row>
    <row r="7">
      <c r="A7" s="99" t="inlineStr">
        <is>
          <t>Producción</t>
        </is>
      </c>
      <c r="B7" s="81" t="inlineStr">
        <is>
          <t>Intercoms — 100%</t>
        </is>
      </c>
      <c r="C7" s="100" t="inlineStr">
        <is>
          <t>ya comprados</t>
        </is>
      </c>
      <c r="D7" s="91" t="n">
        <v>560</v>
      </c>
      <c r="E7" s="81" t="inlineStr">
        <is>
          <t>Pagado</t>
        </is>
      </c>
      <c r="F7" s="99" t="inlineStr">
        <is>
          <t>Confirmado por Agustina el 03/09</t>
        </is>
      </c>
    </row>
    <row r="8">
      <c r="A8" s="99" t="inlineStr">
        <is>
          <t>Técnica</t>
        </is>
      </c>
      <c r="B8" s="81" t="inlineStr">
        <is>
          <t>Grupo MET — factura INV-11</t>
        </is>
      </c>
      <c r="C8" s="100" t="inlineStr">
        <is>
          <t>31/07/2026</t>
        </is>
      </c>
      <c r="D8" s="91" t="n">
        <v>5000</v>
      </c>
      <c r="E8" s="81" t="inlineStr">
        <is>
          <t>Pagado</t>
        </is>
      </c>
      <c r="F8" s="99" t="inlineStr">
        <is>
          <t>Recibo de Mercury del 31/07</t>
        </is>
      </c>
    </row>
    <row r="9">
      <c r="A9" s="99" t="inlineStr">
        <is>
          <t>Merch</t>
        </is>
      </c>
      <c r="B9" s="81" t="inlineStr">
        <is>
          <t>Pañuelos — 50% (parte Argentina)</t>
        </is>
      </c>
      <c r="C9" s="100" t="inlineStr">
        <is>
          <t>24/06/2026</t>
        </is>
      </c>
      <c r="D9" s="91" t="n">
        <v>3569.15</v>
      </c>
      <c r="E9" s="81" t="inlineStr">
        <is>
          <t>Pagado</t>
        </is>
      </c>
      <c r="F9" s="99" t="inlineStr">
        <is>
          <t>Master: 50% de US$10.982, imputado al 65%</t>
        </is>
      </c>
    </row>
    <row r="10">
      <c r="A10" s="99" t="inlineStr">
        <is>
          <t>Merch</t>
        </is>
      </c>
      <c r="B10" s="81" t="inlineStr">
        <is>
          <t>Gorras — 100%</t>
        </is>
      </c>
      <c r="C10" s="100" t="inlineStr">
        <is>
          <t>25/06/2026</t>
        </is>
      </c>
      <c r="D10" s="91" t="n">
        <v>1825</v>
      </c>
      <c r="E10" s="81" t="inlineStr">
        <is>
          <t>Pagado</t>
        </is>
      </c>
      <c r="F10" s="99" t="inlineStr">
        <is>
          <t>Factura 2601009 de Textil Ryu</t>
        </is>
      </c>
    </row>
    <row r="11">
      <c r="A11" s="99" t="inlineStr">
        <is>
          <t>Merch</t>
        </is>
      </c>
      <c r="B11" s="81" t="inlineStr">
        <is>
          <t>Lanyards — 50%</t>
        </is>
      </c>
      <c r="C11" s="100" t="inlineStr">
        <is>
          <t>25/06/2026</t>
        </is>
      </c>
      <c r="D11" s="91" t="n">
        <v>849</v>
      </c>
      <c r="E11" s="81" t="inlineStr">
        <is>
          <t>Pagado</t>
        </is>
      </c>
      <c r="F11" s="99" t="inlineStr">
        <is>
          <t>Hoja PAGOS del master</t>
        </is>
      </c>
    </row>
    <row r="12">
      <c r="A12" s="99" t="inlineStr">
        <is>
          <t>Merch</t>
        </is>
      </c>
      <c r="B12" s="81" t="inlineStr">
        <is>
          <t>Gráfica Argentina — anticipo</t>
        </is>
      </c>
      <c r="C12" s="100" t="inlineStr">
        <is>
          <t>25/06/2026</t>
        </is>
      </c>
      <c r="D12" s="91" t="n">
        <v>642</v>
      </c>
      <c r="E12" s="81" t="inlineStr">
        <is>
          <t>Pagado</t>
        </is>
      </c>
      <c r="F12" s="99" t="inlineStr">
        <is>
          <t>Master: total US$2.481, saldo US$1.839</t>
        </is>
      </c>
    </row>
    <row r="13">
      <c r="A13" s="18" t="n"/>
      <c r="B13" s="17" t="inlineStr">
        <is>
          <t>Pagado a hoy</t>
        </is>
      </c>
      <c r="C13" s="18" t="n"/>
      <c r="D13" s="19">
        <f>SUM(D6:D12)</f>
        <v/>
      </c>
      <c r="E13" s="18" t="n"/>
      <c r="F13" s="18" t="n"/>
    </row>
    <row r="15" ht="20" customHeight="1">
      <c r="A15" s="7" t="inlineStr">
        <is>
          <t>FALTA PAGAR · CON FECHA</t>
        </is>
      </c>
      <c r="B15" s="8" t="n"/>
      <c r="C15" s="8" t="n"/>
      <c r="D15" s="8" t="n"/>
      <c r="E15" s="8" t="n"/>
      <c r="F15" s="8" t="n"/>
    </row>
    <row r="16">
      <c r="A16" s="101" t="inlineStr">
        <is>
          <t>Sede</t>
        </is>
      </c>
      <c r="B16" s="85" t="inlineStr">
        <is>
          <t>La Rural — saldo, cuota 1 de 2</t>
        </is>
      </c>
      <c r="C16" s="102" t="inlineStr">
        <is>
          <t>24/08/2026</t>
        </is>
      </c>
      <c r="D16" s="103" t="n">
        <v>15777</v>
      </c>
      <c r="E16" s="104" t="inlineStr">
        <is>
          <t>VENCIDA</t>
        </is>
      </c>
      <c r="F16" s="101" t="inlineStr">
        <is>
          <t>Cronograma del master</t>
        </is>
      </c>
    </row>
    <row r="17">
      <c r="A17" s="101" t="inlineStr">
        <is>
          <t>Merch</t>
        </is>
      </c>
      <c r="B17" s="85" t="inlineStr">
        <is>
          <t>Remeras (250)</t>
        </is>
      </c>
      <c r="C17" s="102" t="inlineStr">
        <is>
          <t>ya facturado</t>
        </is>
      </c>
      <c r="D17" s="103" t="n">
        <v>2780.64</v>
      </c>
      <c r="E17" s="104" t="inlineStr">
        <is>
          <t>SIN PAGAR</t>
        </is>
      </c>
      <c r="F17" s="101" t="inlineStr">
        <is>
          <t>Factura 2601017 del 16/08 · NO figura en el master</t>
        </is>
      </c>
    </row>
    <row r="18">
      <c r="A18" s="101" t="inlineStr">
        <is>
          <t>Merch</t>
        </is>
      </c>
      <c r="B18" s="85" t="inlineStr">
        <is>
          <t>Bordado de gorras (940)</t>
        </is>
      </c>
      <c r="C18" s="102" t="inlineStr">
        <is>
          <t>ya facturado</t>
        </is>
      </c>
      <c r="D18" s="103" t="n">
        <v>1721.95</v>
      </c>
      <c r="E18" s="104" t="inlineStr">
        <is>
          <t>SIN PAGAR</t>
        </is>
      </c>
      <c r="F18" s="101" t="inlineStr">
        <is>
          <t>Factura 2601016 del 10/08 · NO figura en el master</t>
        </is>
      </c>
    </row>
    <row r="19">
      <c r="A19" s="105" t="inlineStr">
        <is>
          <t>Merch</t>
        </is>
      </c>
      <c r="B19" s="59" t="inlineStr">
        <is>
          <t>Pañuelos — saldo (parte Argentina)</t>
        </is>
      </c>
      <c r="C19" s="106" t="inlineStr">
        <is>
          <t>13/09/2026</t>
        </is>
      </c>
      <c r="D19" s="107" t="n">
        <v>3429.73</v>
      </c>
      <c r="E19" s="89" t="inlineStr">
        <is>
          <t>Programado</t>
        </is>
      </c>
      <c r="F19" s="105" t="inlineStr">
        <is>
          <t>Factura 2601019 · 65% de 5.276,51 USDT</t>
        </is>
      </c>
    </row>
    <row r="20">
      <c r="A20" s="105" t="inlineStr">
        <is>
          <t>Merch</t>
        </is>
      </c>
      <c r="B20" s="59" t="inlineStr">
        <is>
          <t>Gráfica Argentina — saldo</t>
        </is>
      </c>
      <c r="C20" s="106" t="inlineStr">
        <is>
          <t>13/09/2026</t>
        </is>
      </c>
      <c r="D20" s="107" t="n">
        <v>1192.37</v>
      </c>
      <c r="E20" s="89" t="inlineStr">
        <is>
          <t>Programado</t>
        </is>
      </c>
      <c r="F20" s="105" t="inlineStr">
        <is>
          <t>Master. La factura 2601014 viene por el total: a confirmar</t>
        </is>
      </c>
    </row>
    <row r="21">
      <c r="A21" s="105" t="inlineStr">
        <is>
          <t>Merch</t>
        </is>
      </c>
      <c r="B21" s="59" t="inlineStr">
        <is>
          <t>Lanyards — saldo</t>
        </is>
      </c>
      <c r="C21" s="106" t="inlineStr">
        <is>
          <t>13/09/2026</t>
        </is>
      </c>
      <c r="D21" s="107" t="n">
        <v>816.1</v>
      </c>
      <c r="E21" s="89" t="inlineStr">
        <is>
          <t>Programado</t>
        </is>
      </c>
      <c r="F21" s="105" t="inlineStr">
        <is>
          <t>Master. La factura 2601018 viene por el total: a confirmar</t>
        </is>
      </c>
    </row>
    <row r="22">
      <c r="A22" s="105" t="inlineStr">
        <is>
          <t>Sede</t>
        </is>
      </c>
      <c r="B22" s="59" t="inlineStr">
        <is>
          <t>La Rural — saldo, cuota 2 de 2</t>
        </is>
      </c>
      <c r="C22" s="106" t="inlineStr">
        <is>
          <t>23/09/2026</t>
        </is>
      </c>
      <c r="D22" s="107" t="n">
        <v>15777</v>
      </c>
      <c r="E22" s="89" t="inlineStr">
        <is>
          <t>Programado</t>
        </is>
      </c>
      <c r="F22" s="105" t="inlineStr">
        <is>
          <t>Cronograma del master</t>
        </is>
      </c>
    </row>
    <row r="23">
      <c r="A23" s="18" t="n"/>
      <c r="B23" s="17" t="inlineStr">
        <is>
          <t>Comprometido con fecha</t>
        </is>
      </c>
      <c r="C23" s="18" t="n"/>
      <c r="D23" s="19">
        <f>SUM(D16:D22)</f>
        <v/>
      </c>
      <c r="E23" s="18" t="n"/>
      <c r="F23" s="18" t="n"/>
    </row>
    <row r="24">
      <c r="B24" s="2" t="inlineStr">
        <is>
          <t>De eso, vencido o facturado sin pagar</t>
        </is>
      </c>
      <c r="D24" s="103">
        <f>SUMIF(E16:E22,"VENCIDA",D16:D22)+SUMIF(E16:E22,"SIN PAGAR",D16:D22)</f>
        <v/>
      </c>
    </row>
    <row r="26" ht="20" customHeight="1">
      <c r="A26" s="7" t="inlineStr">
        <is>
          <t>RESUMEN</t>
        </is>
      </c>
      <c r="B26" s="8" t="n"/>
      <c r="C26" s="8" t="n"/>
      <c r="D26" s="8" t="n"/>
      <c r="E26" s="8" t="n"/>
      <c r="F26" s="8" t="n"/>
    </row>
    <row r="27">
      <c r="B27" s="3" t="inlineStr">
        <is>
          <t>Costo total del evento</t>
        </is>
      </c>
      <c r="D27" s="108">
        <f>'COSTOS UNIFICADOS'!J63</f>
        <v/>
      </c>
    </row>
    <row r="28">
      <c r="B28" s="3" t="inlineStr">
        <is>
          <t>Ya pagado</t>
        </is>
      </c>
      <c r="D28" s="109">
        <f>D13</f>
        <v/>
      </c>
    </row>
    <row r="29">
      <c r="B29" s="3" t="inlineStr">
        <is>
          <t>Falta desembolsar</t>
        </is>
      </c>
      <c r="D29" s="110">
        <f>'COSTOS UNIFICADOS'!J63-D13</f>
        <v/>
      </c>
    </row>
    <row r="30">
      <c r="B30" s="5" t="inlineStr">
        <is>
          <t xml:space="preserve">   de eso, con fecha acordada</t>
        </is>
      </c>
      <c r="D30" s="111">
        <f>D23</f>
        <v/>
      </c>
    </row>
    <row r="31">
      <c r="B31" s="5" t="inlineStr">
        <is>
          <t xml:space="preserve">   de eso, todavía sin fecha</t>
        </is>
      </c>
      <c r="D31" s="111">
        <f>'COSTOS UNIFICADOS'!J63-D13-D23</f>
        <v/>
      </c>
    </row>
    <row r="33">
      <c r="B33" s="2" t="inlineStr">
        <is>
          <t>Las remeras y el bordado de gorras están facturados desde agosto y no figuran en el cronograma del master: son US$4.503 que hoy no están en ningún calendario.</t>
        </is>
      </c>
    </row>
    <row r="34">
      <c r="B34" s="2" t="inlineStr">
        <is>
          <t>El resto sin fecha son los rubros cerrados y cotizados que todavía no tienen forma de pago acordada: técnica, entelado, CCTV, catering, sillas y los servicios del predio.</t>
        </is>
      </c>
    </row>
    <row r="35">
      <c r="B35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26:F26"/>
    <mergeCell ref="A5:F5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(66494708.2-16858366.2)/TABLERO!$C$4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US$13.582 por las dos propuestas</t>
        </is>
      </c>
      <c r="C7" s="22" t="inlineStr">
        <is>
          <t>La planilla tenía US$33.820 estimados</t>
        </is>
      </c>
      <c r="D7" s="37">
        <f>13582-33820</f>
        <v/>
      </c>
      <c r="E7" s="22" t="inlineStr">
        <is>
          <t>Cerrado. Es la mejor negociación del evento: US$20.238 por debajo de lo presupuestado.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0.35*13387500*1.21/TABLERO!$C$4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C5/TABLERO!$C$4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12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 — sillas y montaje</t>
        </is>
      </c>
      <c r="B6" s="22" t="inlineStr">
        <is>
          <t>La Rural: 5.000 sillas imperio bordó, armado incluido</t>
        </is>
      </c>
      <c r="C6" s="23" t="n"/>
      <c r="D6" s="28" t="n">
        <v>28431</v>
      </c>
      <c r="E6" s="22" t="inlineStr">
        <is>
          <t>FDL Eventos: 5.500 sillas + flete, más el montaje, la acomodación y el desmontaje</t>
        </is>
      </c>
      <c r="F6" s="23" t="n"/>
      <c r="G6" s="28" t="n">
        <v>17450</v>
      </c>
      <c r="H6" s="76">
        <f>D6-G6</f>
        <v/>
      </c>
      <c r="I6" s="112">
        <f>IFERROR(H6/D6,"")</f>
        <v/>
      </c>
      <c r="J6" s="29" t="inlineStr">
        <is>
          <t>Cifras de Agustina, sin IVA. Reemplaza la fila que estaba aparte como "sillas": es la misma negociación, estaba contada dos veces. Verificado: 17.450 al dólar de referencia son $26.698.500, que es el presupuesto FDL 026-2697 ($25.800.000) más los $900.000 del montaje. Agustina tiene los presupuestos anteriores para adjuntar.</t>
        </is>
      </c>
    </row>
    <row r="7" ht="46" customHeight="1">
      <c r="A7" s="20" t="inlineStr">
        <is>
          <t>Entelado</t>
        </is>
      </c>
      <c r="B7" s="22" t="inlineStr">
        <is>
          <t>Primer presupuesto recibido</t>
        </is>
      </c>
      <c r="C7" s="23" t="n"/>
      <c r="D7" s="28" t="n">
        <v>25490</v>
      </c>
      <c r="E7" s="22" t="inlineStr">
        <is>
          <t>Negociado por Agustina</t>
        </is>
      </c>
      <c r="F7" s="23" t="n"/>
      <c r="G7" s="28" t="n">
        <v>16500</v>
      </c>
      <c r="H7" s="76">
        <f>D7-G7</f>
        <v/>
      </c>
      <c r="I7" s="112">
        <f>IFERROR(H7/D7,"")</f>
        <v/>
      </c>
      <c r="J7" s="29" t="inlineStr">
        <is>
          <t>Cifras de Agustina, sin IVA. Verificado: 25.490 al dólar de referencia son $39.000.000 exactos, que es la primera cotización. Agustina tiene el presupuesto anterior para adjuntar.</t>
        </is>
      </c>
    </row>
    <row r="8" ht="46" customHeight="1">
      <c r="A8" s="20" t="inlineStr">
        <is>
          <t>Catering</t>
        </is>
      </c>
      <c r="B8" s="22" t="inlineStr">
        <is>
          <t>Primera propuesta de Grupo Ambient</t>
        </is>
      </c>
      <c r="C8" s="23" t="n">
        <v>30000000</v>
      </c>
      <c r="D8" s="27">
        <f>C8/TABLERO!$C$4</f>
        <v/>
      </c>
      <c r="E8" s="22" t="inlineStr">
        <is>
          <t>600 lunchbox VIP + desayuno, almuerzo y cena para 150 personas</t>
        </is>
      </c>
      <c r="F8" s="23" t="n"/>
      <c r="G8" s="28" t="n">
        <v>14569</v>
      </c>
      <c r="H8" s="76">
        <f>D8-G8</f>
        <v/>
      </c>
      <c r="I8" s="112">
        <f>IFERROR(H8/D8,"")</f>
        <v/>
      </c>
      <c r="J8" s="29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20" t="inlineStr">
        <is>
          <t>Merch e impresos</t>
        </is>
      </c>
      <c r="B9" s="22" t="inlineStr">
        <is>
          <t>Proveedor de Cumbre, precios unitarios al 06/07</t>
        </is>
      </c>
      <c r="C9" s="23" t="n"/>
      <c r="D9" s="28" t="n">
        <v>16261.12</v>
      </c>
      <c r="E9" s="22" t="inlineStr">
        <is>
          <t>Proveedores argentinos conseguidos por Agustina</t>
        </is>
      </c>
      <c r="F9" s="23" t="n"/>
      <c r="G9" s="28" t="n">
        <v>5067.97</v>
      </c>
      <c r="H9" s="76">
        <f>D9-G9</f>
        <v/>
      </c>
      <c r="I9" s="112">
        <f>IFERROR(H9/D9,"")</f>
        <v/>
      </c>
      <c r="J9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20" t="inlineStr">
        <is>
          <t>Vallado del público</t>
        </is>
      </c>
      <c r="B10" s="22" t="inlineStr">
        <is>
          <t>Presupuestado en la hoja de Argentina</t>
        </is>
      </c>
      <c r="C10" s="23" t="n"/>
      <c r="D10" s="28" t="n">
        <v>1250</v>
      </c>
      <c r="E10" s="22" t="inlineStr">
        <is>
          <t>500 vallas bonificadas por el proveedor de técnica</t>
        </is>
      </c>
      <c r="F10" s="23" t="n"/>
      <c r="G10" s="28" t="n">
        <v>0</v>
      </c>
      <c r="H10" s="76">
        <f>D10-G10</f>
        <v/>
      </c>
      <c r="I10" s="112">
        <f>IFERROR(H10/D10,"")</f>
        <v/>
      </c>
      <c r="J10" s="29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113">
        <f>SUM(D5:D10)</f>
        <v/>
      </c>
      <c r="G11" s="113">
        <f>SUM(G5:G10)</f>
        <v/>
      </c>
      <c r="H11" s="113">
        <f>SUM(H5:H10)</f>
        <v/>
      </c>
    </row>
    <row r="13">
      <c r="A13" s="98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4">
        <f>IF(E5="","",E5/TABLERO!$C$4)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5">
        <f>IF(E6="","",E6/TABLERO!$C$4)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5">
        <f>IF(E7="","",E7/TABLERO!$C$4)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5">
        <f>IF(E8="","",E8/TABLERO!$C$4)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5">
        <f>IF(E9="","",E9/TABLERO!$C$4)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6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7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98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8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87" t="inlineStr">
        <is>
          <t xml:space="preserve">  PANELERÍA (montaje de estructuras)</t>
        </is>
      </c>
      <c r="B5" s="88" t="n"/>
      <c r="C5" s="88" t="n"/>
      <c r="D5" s="88" t="n"/>
      <c r="E5" s="88" t="n"/>
      <c r="F5" s="88" t="n"/>
      <c r="G5" s="88" t="n"/>
      <c r="H5" s="88" t="n"/>
    </row>
    <row r="6">
      <c r="A6" s="105" t="n">
        <v>1</v>
      </c>
      <c r="B6" s="105" t="inlineStr">
        <is>
          <t>PANELERÍA (montaje de estructuras)</t>
        </is>
      </c>
      <c r="C6" s="106" t="inlineStr">
        <is>
          <t>Oficina de producción — 25 m² (panelería + puerta + iluminación)</t>
        </is>
      </c>
      <c r="D6" s="119" t="n">
        <v>1314575</v>
      </c>
      <c r="E6" s="61">
        <f>D6/TABLERO!$C$4</f>
        <v/>
      </c>
      <c r="F6" s="120" t="inlineStr">
        <is>
          <t>SÍ</t>
        </is>
      </c>
      <c r="G6" s="121">
        <f>IF(F6="SÍ",D6,0)</f>
        <v/>
      </c>
      <c r="H6" s="105" t="inlineStr"/>
    </row>
    <row r="7">
      <c r="A7" s="105" t="n">
        <v>2</v>
      </c>
      <c r="B7" s="105" t="inlineStr">
        <is>
          <t>PANELERÍA (montaje de estructuras)</t>
        </is>
      </c>
      <c r="C7" s="106" t="inlineStr">
        <is>
          <t>Sala de staff — 100 m² (panelería + puerta + iluminación)</t>
        </is>
      </c>
      <c r="D7" s="119" t="n">
        <v>5258300</v>
      </c>
      <c r="E7" s="61">
        <f>D7/TABLERO!$C$4</f>
        <v/>
      </c>
      <c r="F7" s="120" t="inlineStr">
        <is>
          <t>SÍ</t>
        </is>
      </c>
      <c r="G7" s="121">
        <f>IF(F7="SÍ",D7,0)</f>
        <v/>
      </c>
      <c r="H7" s="105" t="inlineStr"/>
    </row>
    <row r="8">
      <c r="A8" s="105" t="n">
        <v>3</v>
      </c>
      <c r="B8" s="105" t="inlineStr">
        <is>
          <t>PANELERÍA (montaje de estructuras)</t>
        </is>
      </c>
      <c r="C8" s="106" t="inlineStr">
        <is>
          <t>Depósito 8×8 para las 2.500 barras — 64 m²</t>
        </is>
      </c>
      <c r="D8" s="119" t="n">
        <v>3365312</v>
      </c>
      <c r="E8" s="61">
        <f>D8/TABLERO!$C$4</f>
        <v/>
      </c>
      <c r="F8" s="120" t="inlineStr">
        <is>
          <t>SÍ</t>
        </is>
      </c>
      <c r="G8" s="121">
        <f>IF(F8="SÍ",D8,0)</f>
        <v/>
      </c>
      <c r="H8" s="105" t="inlineStr">
        <is>
          <t>Depósito para las 2.500 barras de la dinámica.</t>
        </is>
      </c>
    </row>
    <row r="9">
      <c r="A9" s="87" t="inlineStr">
        <is>
          <t xml:space="preserve">  MOBILIARIO · oficina de producción</t>
        </is>
      </c>
      <c r="B9" s="88" t="n"/>
      <c r="C9" s="88" t="n"/>
      <c r="D9" s="88" t="n"/>
      <c r="E9" s="88" t="n"/>
      <c r="F9" s="88" t="n"/>
      <c r="G9" s="88" t="n"/>
      <c r="H9" s="88" t="n"/>
    </row>
    <row r="10">
      <c r="A10" s="105" t="n">
        <v>4</v>
      </c>
      <c r="B10" s="105" t="inlineStr">
        <is>
          <t>oficina de producción</t>
        </is>
      </c>
      <c r="C10" s="106" t="inlineStr">
        <is>
          <t>Mesa redonda 1,60 ×2</t>
        </is>
      </c>
      <c r="D10" s="119" t="n">
        <v>236000</v>
      </c>
      <c r="E10" s="61">
        <f>D10/TABLERO!$C$4</f>
        <v/>
      </c>
      <c r="F10" s="120" t="inlineStr">
        <is>
          <t>NO</t>
        </is>
      </c>
      <c r="G10" s="121">
        <f>IF(F10="SÍ",D10,0)</f>
        <v/>
      </c>
      <c r="H10" s="105" t="inlineStr"/>
    </row>
    <row r="11">
      <c r="A11" s="105" t="n">
        <v>5</v>
      </c>
      <c r="B11" s="105" t="inlineStr">
        <is>
          <t>oficina de producción</t>
        </is>
      </c>
      <c r="C11" s="106" t="inlineStr">
        <is>
          <t>Silla imperio bordó ×10</t>
        </is>
      </c>
      <c r="D11" s="119" t="n">
        <v>85000</v>
      </c>
      <c r="E11" s="61">
        <f>D11/TABLERO!$C$4</f>
        <v/>
      </c>
      <c r="F11" s="120" t="inlineStr">
        <is>
          <t>NO</t>
        </is>
      </c>
      <c r="G11" s="121">
        <f>IF(F11="SÍ",D11,0)</f>
        <v/>
      </c>
      <c r="H11" s="105" t="inlineStr"/>
    </row>
    <row r="12">
      <c r="A12" s="105" t="n">
        <v>6</v>
      </c>
      <c r="B12" s="105" t="inlineStr">
        <is>
          <t>oficina de producción</t>
        </is>
      </c>
      <c r="C12" s="106" t="inlineStr">
        <is>
          <t>Sillón Valencia 2C ×2</t>
        </is>
      </c>
      <c r="D12" s="119" t="n">
        <v>254000</v>
      </c>
      <c r="E12" s="61">
        <f>D12/TABLERO!$C$4</f>
        <v/>
      </c>
      <c r="F12" s="120" t="inlineStr">
        <is>
          <t>NO</t>
        </is>
      </c>
      <c r="G12" s="121">
        <f>IF(F12="SÍ",D12,0)</f>
        <v/>
      </c>
      <c r="H12" s="105" t="inlineStr"/>
    </row>
    <row r="13">
      <c r="A13" s="105" t="n">
        <v>7</v>
      </c>
      <c r="B13" s="105" t="inlineStr">
        <is>
          <t>oficina de producción</t>
        </is>
      </c>
      <c r="C13" s="106" t="inlineStr">
        <is>
          <t>Sillón BRNO ×2</t>
        </is>
      </c>
      <c r="D13" s="119" t="n">
        <v>160000</v>
      </c>
      <c r="E13" s="61">
        <f>D13/TABLERO!$C$4</f>
        <v/>
      </c>
      <c r="F13" s="120" t="inlineStr">
        <is>
          <t>NO</t>
        </is>
      </c>
      <c r="G13" s="121">
        <f>IF(F13="SÍ",D13,0)</f>
        <v/>
      </c>
      <c r="H13" s="105" t="inlineStr"/>
    </row>
    <row r="14">
      <c r="A14" s="105" t="n">
        <v>8</v>
      </c>
      <c r="B14" s="105" t="inlineStr">
        <is>
          <t>oficina de producción</t>
        </is>
      </c>
      <c r="C14" s="106" t="inlineStr">
        <is>
          <t>Mesa ratona ×1</t>
        </is>
      </c>
      <c r="D14" s="119" t="n">
        <v>118000</v>
      </c>
      <c r="E14" s="61">
        <f>D14/TABLERO!$C$4</f>
        <v/>
      </c>
      <c r="F14" s="120" t="inlineStr">
        <is>
          <t>NO</t>
        </is>
      </c>
      <c r="G14" s="121">
        <f>IF(F14="SÍ",D14,0)</f>
        <v/>
      </c>
      <c r="H14" s="105" t="inlineStr"/>
    </row>
    <row r="15">
      <c r="A15" s="105" t="n">
        <v>9</v>
      </c>
      <c r="B15" s="105" t="inlineStr">
        <is>
          <t>oficina de producción</t>
        </is>
      </c>
      <c r="C15" s="106" t="inlineStr">
        <is>
          <t>Perchero de pie ×1</t>
        </is>
      </c>
      <c r="D15" s="119" t="n">
        <v>40000</v>
      </c>
      <c r="E15" s="61">
        <f>D15/TABLERO!$C$4</f>
        <v/>
      </c>
      <c r="F15" s="120" t="inlineStr">
        <is>
          <t>NO</t>
        </is>
      </c>
      <c r="G15" s="121">
        <f>IF(F15="SÍ",D15,0)</f>
        <v/>
      </c>
      <c r="H15" s="105" t="inlineStr"/>
    </row>
    <row r="16">
      <c r="A16" s="105" t="n">
        <v>10</v>
      </c>
      <c r="B16" s="105" t="inlineStr">
        <is>
          <t>oficina de producción</t>
        </is>
      </c>
      <c r="C16" s="106" t="inlineStr">
        <is>
          <t>Tacho de basura grande ×1</t>
        </is>
      </c>
      <c r="D16" s="119" t="n">
        <v>56300</v>
      </c>
      <c r="E16" s="61">
        <f>D16/TABLERO!$C$4</f>
        <v/>
      </c>
      <c r="F16" s="120" t="inlineStr">
        <is>
          <t>NO</t>
        </is>
      </c>
      <c r="G16" s="121">
        <f>IF(F16="SÍ",D16,0)</f>
        <v/>
      </c>
      <c r="H16" s="105" t="inlineStr"/>
    </row>
    <row r="17">
      <c r="A17" s="87" t="inlineStr">
        <is>
          <t xml:space="preserve">  MOBILIARIO · sala de staff</t>
        </is>
      </c>
      <c r="B17" s="88" t="n"/>
      <c r="C17" s="88" t="n"/>
      <c r="D17" s="88" t="n"/>
      <c r="E17" s="88" t="n"/>
      <c r="F17" s="88" t="n"/>
      <c r="G17" s="88" t="n"/>
      <c r="H17" s="88" t="n"/>
    </row>
    <row r="18">
      <c r="A18" s="105" t="n">
        <v>11</v>
      </c>
      <c r="B18" s="105" t="inlineStr">
        <is>
          <t>sala de staff</t>
        </is>
      </c>
      <c r="C18" s="106" t="inlineStr">
        <is>
          <t>Mesa redonda 1,60 ×5</t>
        </is>
      </c>
      <c r="D18" s="119" t="n">
        <v>590000</v>
      </c>
      <c r="E18" s="61">
        <f>D18/TABLERO!$C$4</f>
        <v/>
      </c>
      <c r="F18" s="120" t="inlineStr">
        <is>
          <t>NO</t>
        </is>
      </c>
      <c r="G18" s="121">
        <f>IF(F18="SÍ",D18,0)</f>
        <v/>
      </c>
      <c r="H18" s="105" t="inlineStr"/>
    </row>
    <row r="19">
      <c r="A19" s="105" t="n">
        <v>12</v>
      </c>
      <c r="B19" s="105" t="inlineStr">
        <is>
          <t>sala de staff</t>
        </is>
      </c>
      <c r="C19" s="106" t="inlineStr">
        <is>
          <t>Silla imperio bordó ×40</t>
        </is>
      </c>
      <c r="D19" s="119" t="n">
        <v>340000</v>
      </c>
      <c r="E19" s="61">
        <f>D19/TABLERO!$C$4</f>
        <v/>
      </c>
      <c r="F19" s="120" t="inlineStr">
        <is>
          <t>NO</t>
        </is>
      </c>
      <c r="G19" s="121">
        <f>IF(F19="SÍ",D19,0)</f>
        <v/>
      </c>
      <c r="H19" s="105" t="inlineStr"/>
    </row>
    <row r="20">
      <c r="A20" s="105" t="n">
        <v>13</v>
      </c>
      <c r="B20" s="105" t="inlineStr">
        <is>
          <t>sala de staff</t>
        </is>
      </c>
      <c r="C20" s="106" t="inlineStr">
        <is>
          <t>Perchero de pie ×1</t>
        </is>
      </c>
      <c r="D20" s="119" t="n">
        <v>40000</v>
      </c>
      <c r="E20" s="61">
        <f>D20/TABLERO!$C$4</f>
        <v/>
      </c>
      <c r="F20" s="120" t="inlineStr">
        <is>
          <t>NO</t>
        </is>
      </c>
      <c r="G20" s="121">
        <f>IF(F20="SÍ",D20,0)</f>
        <v/>
      </c>
      <c r="H20" s="105" t="inlineStr"/>
    </row>
    <row r="21">
      <c r="A21" s="105" t="n">
        <v>14</v>
      </c>
      <c r="B21" s="105" t="inlineStr">
        <is>
          <t>sala de staff</t>
        </is>
      </c>
      <c r="C21" s="106" t="inlineStr">
        <is>
          <t>Tacho de basura grande ×1</t>
        </is>
      </c>
      <c r="D21" s="119" t="n">
        <v>56300</v>
      </c>
      <c r="E21" s="61">
        <f>D21/TABLERO!$C$4</f>
        <v/>
      </c>
      <c r="F21" s="120" t="inlineStr">
        <is>
          <t>NO</t>
        </is>
      </c>
      <c r="G21" s="121">
        <f>IF(F21="SÍ",D21,0)</f>
        <v/>
      </c>
      <c r="H21" s="105" t="inlineStr"/>
    </row>
    <row r="22">
      <c r="A22" s="87" t="inlineStr">
        <is>
          <t xml:space="preserve">  MOBILIARIO · sala principal</t>
        </is>
      </c>
      <c r="B22" s="88" t="n"/>
      <c r="C22" s="88" t="n"/>
      <c r="D22" s="88" t="n"/>
      <c r="E22" s="88" t="n"/>
      <c r="F22" s="88" t="n"/>
      <c r="G22" s="88" t="n"/>
      <c r="H22" s="88" t="n"/>
    </row>
    <row r="23">
      <c r="A23" s="105" t="n">
        <v>15</v>
      </c>
      <c r="B23" s="105" t="inlineStr">
        <is>
          <t>sala principal</t>
        </is>
      </c>
      <c r="C23" s="106" t="inlineStr">
        <is>
          <t>Silla imperio bordó ×5.000</t>
        </is>
      </c>
      <c r="D23" s="119" t="n">
        <v>42500000</v>
      </c>
      <c r="E23" s="61">
        <f>D23/TABLERO!$C$4</f>
        <v/>
      </c>
      <c r="F23" s="120" t="inlineStr">
        <is>
          <t>NO</t>
        </is>
      </c>
      <c r="G23" s="121">
        <f>IF(F23="SÍ",D23,0)</f>
        <v/>
      </c>
      <c r="H23" s="105" t="inlineStr">
        <is>
          <t>Reemplazadas por las 5.500 sillas de FDL Eventos.</t>
        </is>
      </c>
    </row>
    <row r="24">
      <c r="A24" s="105" t="n">
        <v>16</v>
      </c>
      <c r="B24" s="105" t="inlineStr">
        <is>
          <t>sala principal</t>
        </is>
      </c>
      <c r="C24" s="106" t="inlineStr">
        <is>
          <t>Mesa 1,80 × 0,90 ×40</t>
        </is>
      </c>
      <c r="D24" s="119" t="n">
        <v>2500000</v>
      </c>
      <c r="E24" s="61">
        <f>D24/TABLERO!$C$4</f>
        <v/>
      </c>
      <c r="F24" s="120" t="inlineStr">
        <is>
          <t>NO</t>
        </is>
      </c>
      <c r="G24" s="121">
        <f>IF(F24="SÍ",D24,0)</f>
        <v/>
      </c>
      <c r="H24" s="105" t="inlineStr"/>
    </row>
    <row r="25">
      <c r="A25" s="105" t="n">
        <v>17</v>
      </c>
      <c r="B25" s="105" t="inlineStr">
        <is>
          <t>sala principal</t>
        </is>
      </c>
      <c r="C25" s="106" t="inlineStr">
        <is>
          <t>Mantel ×40</t>
        </is>
      </c>
      <c r="D25" s="119" t="n">
        <v>900000</v>
      </c>
      <c r="E25" s="61">
        <f>D25/TABLERO!$C$4</f>
        <v/>
      </c>
      <c r="F25" s="120" t="inlineStr">
        <is>
          <t>NO</t>
        </is>
      </c>
      <c r="G25" s="121">
        <f>IF(F25="SÍ",D25,0)</f>
        <v/>
      </c>
      <c r="H25" s="105" t="inlineStr"/>
    </row>
    <row r="26">
      <c r="A26" s="105" t="n">
        <v>18</v>
      </c>
      <c r="B26" s="105" t="inlineStr">
        <is>
          <t>sala principal</t>
        </is>
      </c>
      <c r="C26" s="106" t="inlineStr">
        <is>
          <t>Mantel redondo ×8</t>
        </is>
      </c>
      <c r="D26" s="119" t="n">
        <v>256000</v>
      </c>
      <c r="E26" s="61">
        <f>D26/TABLERO!$C$4</f>
        <v/>
      </c>
      <c r="F26" s="120" t="inlineStr">
        <is>
          <t>NO</t>
        </is>
      </c>
      <c r="G26" s="121">
        <f>IF(F26="SÍ",D26,0)</f>
        <v/>
      </c>
      <c r="H26" s="105" t="inlineStr"/>
    </row>
    <row r="27">
      <c r="A27" s="87" t="inlineStr">
        <is>
          <t xml:space="preserve">  MOBILIARIO · camarín de speakers</t>
        </is>
      </c>
      <c r="B27" s="88" t="n"/>
      <c r="C27" s="88" t="n"/>
      <c r="D27" s="88" t="n"/>
      <c r="E27" s="88" t="n"/>
      <c r="F27" s="88" t="n"/>
      <c r="G27" s="88" t="n"/>
      <c r="H27" s="88" t="n"/>
    </row>
    <row r="28">
      <c r="A28" s="105" t="n">
        <v>19</v>
      </c>
      <c r="B28" s="105" t="inlineStr">
        <is>
          <t>camarín de speakers</t>
        </is>
      </c>
      <c r="C28" s="106" t="inlineStr">
        <is>
          <t>Mesa redonda 1,60 ×1</t>
        </is>
      </c>
      <c r="D28" s="119" t="n">
        <v>118000</v>
      </c>
      <c r="E28" s="61">
        <f>D28/TABLERO!$C$4</f>
        <v/>
      </c>
      <c r="F28" s="120" t="inlineStr">
        <is>
          <t>NO</t>
        </is>
      </c>
      <c r="G28" s="121">
        <f>IF(F28="SÍ",D28,0)</f>
        <v/>
      </c>
      <c r="H28" s="105" t="inlineStr"/>
    </row>
    <row r="29">
      <c r="A29" s="105" t="n">
        <v>20</v>
      </c>
      <c r="B29" s="105" t="inlineStr">
        <is>
          <t>camarín de speakers</t>
        </is>
      </c>
      <c r="C29" s="106" t="inlineStr">
        <is>
          <t>Espejo ×1</t>
        </is>
      </c>
      <c r="D29" s="119" t="n">
        <v>79500</v>
      </c>
      <c r="E29" s="61">
        <f>D29/TABLERO!$C$4</f>
        <v/>
      </c>
      <c r="F29" s="120" t="inlineStr">
        <is>
          <t>NO</t>
        </is>
      </c>
      <c r="G29" s="121">
        <f>IF(F29="SÍ",D29,0)</f>
        <v/>
      </c>
      <c r="H29" s="105" t="inlineStr"/>
    </row>
    <row r="30">
      <c r="A30" s="105" t="n">
        <v>21</v>
      </c>
      <c r="B30" s="105" t="inlineStr">
        <is>
          <t>camarín de speakers</t>
        </is>
      </c>
      <c r="C30" s="106" t="inlineStr">
        <is>
          <t>Juego de living (sillones + mesa ratona)</t>
        </is>
      </c>
      <c r="D30" s="119" t="n">
        <v>1103642</v>
      </c>
      <c r="E30" s="61">
        <f>D30/TABLERO!$C$4</f>
        <v/>
      </c>
      <c r="F30" s="120" t="inlineStr">
        <is>
          <t>NO</t>
        </is>
      </c>
      <c r="G30" s="121">
        <f>IF(F30="SÍ",D30,0)</f>
        <v/>
      </c>
      <c r="H30" s="105" t="inlineStr">
        <is>
          <t>El mobiliario "más fino" del camarín: candidato a contratárselo a La Rural.</t>
        </is>
      </c>
    </row>
    <row r="31">
      <c r="A31" s="105" t="n">
        <v>22</v>
      </c>
      <c r="B31" s="105" t="inlineStr">
        <is>
          <t>camarín de speakers</t>
        </is>
      </c>
      <c r="C31" s="106" t="inlineStr">
        <is>
          <t>Perchero de pie ×1</t>
        </is>
      </c>
      <c r="D31" s="119" t="n">
        <v>40000</v>
      </c>
      <c r="E31" s="61">
        <f>D31/TABLERO!$C$4</f>
        <v/>
      </c>
      <c r="F31" s="120" t="inlineStr">
        <is>
          <t>NO</t>
        </is>
      </c>
      <c r="G31" s="121">
        <f>IF(F31="SÍ",D31,0)</f>
        <v/>
      </c>
      <c r="H31" s="105" t="inlineStr"/>
    </row>
    <row r="32">
      <c r="A32" s="105" t="n">
        <v>23</v>
      </c>
      <c r="B32" s="105" t="inlineStr">
        <is>
          <t>camarín de speakers</t>
        </is>
      </c>
      <c r="C32" s="106" t="inlineStr">
        <is>
          <t>Tacho de basura grande ×1</t>
        </is>
      </c>
      <c r="D32" s="119" t="n">
        <v>56300</v>
      </c>
      <c r="E32" s="61">
        <f>D32/TABLERO!$C$4</f>
        <v/>
      </c>
      <c r="F32" s="120" t="inlineStr">
        <is>
          <t>NO</t>
        </is>
      </c>
      <c r="G32" s="121">
        <f>IF(F32="SÍ",D32,0)</f>
        <v/>
      </c>
      <c r="H32" s="105" t="inlineStr"/>
    </row>
    <row r="33">
      <c r="A33" s="87" t="inlineStr">
        <is>
          <t xml:space="preserve">  MOBILIARIO · escenario y técnica</t>
        </is>
      </c>
      <c r="B33" s="88" t="n"/>
      <c r="C33" s="88" t="n"/>
      <c r="D33" s="88" t="n"/>
      <c r="E33" s="88" t="n"/>
      <c r="F33" s="88" t="n"/>
      <c r="G33" s="88" t="n"/>
      <c r="H33" s="88" t="n"/>
    </row>
    <row r="34">
      <c r="A34" s="105" t="n">
        <v>24</v>
      </c>
      <c r="B34" s="105" t="inlineStr">
        <is>
          <t>escenario y técnica</t>
        </is>
      </c>
      <c r="C34" s="106" t="inlineStr">
        <is>
          <t>Mesa cocktail alta (escenario) ×1</t>
        </is>
      </c>
      <c r="D34" s="119" t="n">
        <v>45000</v>
      </c>
      <c r="E34" s="61">
        <f>D34/TABLERO!$C$4</f>
        <v/>
      </c>
      <c r="F34" s="120" t="inlineStr">
        <is>
          <t>NO</t>
        </is>
      </c>
      <c r="G34" s="121">
        <f>IF(F34="SÍ",D34,0)</f>
        <v/>
      </c>
      <c r="H34" s="105" t="inlineStr"/>
    </row>
    <row r="35">
      <c r="A35" s="105" t="n">
        <v>25</v>
      </c>
      <c r="B35" s="105" t="inlineStr">
        <is>
          <t>escenario y técnica</t>
        </is>
      </c>
      <c r="C35" s="106" t="inlineStr">
        <is>
          <t>Mesa alta para DJ ×1</t>
        </is>
      </c>
      <c r="D35" s="119" t="n">
        <v>62300</v>
      </c>
      <c r="E35" s="61">
        <f>D35/TABLERO!$C$4</f>
        <v/>
      </c>
      <c r="F35" s="120" t="inlineStr">
        <is>
          <t>NO</t>
        </is>
      </c>
      <c r="G35" s="121">
        <f>IF(F35="SÍ",D35,0)</f>
        <v/>
      </c>
      <c r="H35" s="105" t="inlineStr"/>
    </row>
    <row r="36">
      <c r="A36" s="87" t="inlineStr">
        <is>
          <t xml:space="preserve">  GENERALES</t>
        </is>
      </c>
      <c r="B36" s="88" t="n"/>
      <c r="C36" s="88" t="n"/>
      <c r="D36" s="88" t="n"/>
      <c r="E36" s="88" t="n"/>
      <c r="F36" s="88" t="n"/>
      <c r="G36" s="88" t="n"/>
      <c r="H36" s="88" t="n"/>
    </row>
    <row r="37">
      <c r="A37" s="105" t="n">
        <v>26</v>
      </c>
      <c r="B37" s="105" t="inlineStr">
        <is>
          <t>GENERALES</t>
        </is>
      </c>
      <c r="C37" s="106" t="inlineStr">
        <is>
          <t>Dirección técnica de todo el evento + replanteo</t>
        </is>
      </c>
      <c r="D37" s="119" t="n">
        <v>5149179.2</v>
      </c>
      <c r="E37" s="61">
        <f>D37/TABLERO!$C$4</f>
        <v/>
      </c>
      <c r="F37" s="120" t="inlineStr">
        <is>
          <t>SÍ</t>
        </is>
      </c>
      <c r="G37" s="121">
        <f>IF(F37="SÍ",D37,0)</f>
        <v/>
      </c>
      <c r="H37" s="105" t="inlineStr">
        <is>
          <t>Ojo: el replanteo de sillas va aparte, con ingeniero propio.</t>
        </is>
      </c>
    </row>
    <row r="38">
      <c r="A38" s="105" t="n">
        <v>27</v>
      </c>
      <c r="B38" s="105" t="inlineStr">
        <is>
          <t>GENERALES</t>
        </is>
      </c>
      <c r="C38" s="106" t="inlineStr">
        <is>
          <t>Guardia eléctrica × 2 días</t>
        </is>
      </c>
      <c r="D38" s="119" t="n">
        <v>865800</v>
      </c>
      <c r="E38" s="61">
        <f>D38/TABLERO!$C$4</f>
        <v/>
      </c>
      <c r="F38" s="120" t="inlineStr">
        <is>
          <t>SÍ</t>
        </is>
      </c>
      <c r="G38" s="121">
        <f>IF(F38="SÍ",D38,0)</f>
        <v/>
      </c>
      <c r="H38" s="105" t="inlineStr"/>
    </row>
    <row r="39">
      <c r="A39" s="105" t="n">
        <v>28</v>
      </c>
      <c r="B39" s="105" t="inlineStr">
        <is>
          <t>GENERALES</t>
        </is>
      </c>
      <c r="C39" s="106" t="inlineStr">
        <is>
          <t>Guardia técnica × 2 días</t>
        </is>
      </c>
      <c r="D39" s="119" t="n">
        <v>905200</v>
      </c>
      <c r="E39" s="61">
        <f>D39/TABLERO!$C$4</f>
        <v/>
      </c>
      <c r="F39" s="120" t="inlineStr">
        <is>
          <t>SÍ</t>
        </is>
      </c>
      <c r="G39" s="121">
        <f>IF(F39="SÍ",D39,0)</f>
        <v/>
      </c>
      <c r="H39" s="105" t="inlineStr"/>
    </row>
    <row r="41">
      <c r="C41" s="3" t="inlineStr">
        <is>
          <t>TOTAL del presupuesto de La Rural</t>
        </is>
      </c>
      <c r="D41" s="122">
        <f>SUM(D6:D39)</f>
        <v/>
      </c>
      <c r="E41" s="19">
        <f>D41/TABLERO!$C$4</f>
        <v/>
      </c>
    </row>
    <row r="42">
      <c r="C42" s="3" t="inlineStr">
        <is>
          <t>Lo que se queda (marcado SÍ)</t>
        </is>
      </c>
      <c r="D42" s="123">
        <f>SUM(G6:G39)</f>
        <v/>
      </c>
      <c r="E42" s="91">
        <f>D42/TABLERO!$C$4</f>
        <v/>
      </c>
    </row>
    <row r="43">
      <c r="C43" s="3" t="inlineStr">
        <is>
          <t>Lo que se saca (marcado NO)</t>
        </is>
      </c>
      <c r="D43" s="124">
        <f>D41-D42</f>
        <v/>
      </c>
      <c r="E43" s="125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2026-09-03T15:41:11Z</dcterms:created>
  <dcterms:modified xsi:type="dcterms:W3CDTF">2026-09-03T15:41:11Z</dcterms:modified>
</cp:coreProperties>
</file>