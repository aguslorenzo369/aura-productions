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DECISIONES" sheetId="4" state="visible" r:id="rId4"/>
  </sheets>
  <definedNames>
    <definedName name="_xlnm._FilterDatabase" localSheetId="1" hidden="1">'COSTOS UNIFICADOS'!$A$4:$L$4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Por defecto $1.535 = dólar oficial venta del Banco Nación al 02/09/2026.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Sin cotizar = sólo hay un estimado del sheet, o ni eso.</t>
        </is>
      </c>
    </row>
    <row r="9" ht="30" customHeight="1">
      <c r="A9" s="3" t="inlineStr">
        <is>
          <t>Regla del total</t>
        </is>
      </c>
      <c r="B9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0" ht="30" customHeight="1">
      <c r="A10" s="3" t="inlineStr">
        <is>
          <t>IVA</t>
        </is>
      </c>
      <c r="B10" s="4" t="inlineStr">
        <is>
          <t>Las cotizaciones argentinas casi todas vienen sin IVA. La columna IVA aplica la alícuota de cada una (21% general, 10,5% el servicio médico) para llegar al costo real.</t>
        </is>
      </c>
    </row>
    <row r="11" ht="8" customHeight="1">
      <c r="A11" s="5" t="inlineStr"/>
      <c r="B11" s="4" t="inlineStr"/>
    </row>
    <row r="12" ht="30" customHeight="1">
      <c r="A12" s="3" t="inlineStr">
        <is>
          <t>Advertencia 1 — vencimientos</t>
        </is>
      </c>
      <c r="B12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3" ht="30" customHeight="1">
      <c r="A13" s="3" t="inlineStr">
        <is>
          <t>Advertencia 2 — huecos</t>
        </is>
      </c>
      <c r="B13" s="4" t="inlineStr">
        <is>
          <t>Catering, vuelos y alojamiento del equipo no tienen ninguna cotización cerrada. Catering entra al total con el estimado del sheet (US$39.820); vuelos y alojamiento entran en cero porque no hay ni estimado. El costo por persona es, por lo tanto, un piso.</t>
        </is>
      </c>
    </row>
    <row r="14" ht="30" customHeight="1">
      <c r="A14" s="3" t="inlineStr">
        <is>
          <t>Advertencia 3 — facturación</t>
        </is>
      </c>
      <c r="B14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15" ht="8" customHeight="1">
      <c r="A15" s="5" t="inlineStr"/>
      <c r="B15" s="4" t="inlineStr"/>
    </row>
    <row r="16" ht="30" customHeight="1">
      <c r="A16" s="3" t="inlineStr">
        <is>
          <t>Fuentes de mail</t>
        </is>
      </c>
      <c r="B16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17" ht="30" customHeight="1">
      <c r="A17" s="3" t="inlineStr">
        <is>
          <t>Fuente de planilla</t>
        </is>
      </c>
      <c r="B17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4" customWidth="1" min="9" max="9"/>
    <col width="15" customWidth="1" min="10" max="10"/>
    <col width="14" customWidth="1" min="11" max="11"/>
    <col width="62" customWidth="1" min="12" max="12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Total USD</t>
        </is>
      </c>
      <c r="J4" s="6" t="inlineStr">
        <is>
          <t>Estimado del sheet
(USD)</t>
        </is>
      </c>
      <c r="K4" s="6" t="inlineStr">
        <is>
          <t>Diferencia</t>
        </is>
      </c>
      <c r="L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4">
        <f>IF(H6="",N(J6),IF(E6="USD",H6,H6/TABLERO!$C$4))</f>
        <v/>
      </c>
      <c r="J6" s="12" t="n">
        <v>70000</v>
      </c>
      <c r="K6" s="14">
        <f>IF(D6="Alternativa","",I6-N(J6))</f>
        <v/>
      </c>
      <c r="L6" s="15" t="inlineStr">
        <is>
          <t>Contrato CC-00957 · hoja PAGOS del master (US$43.446 abonados el 27/04)</t>
        </is>
      </c>
    </row>
    <row r="7" ht="42" customHeight="1">
      <c r="A7" s="16" t="inlineStr">
        <is>
          <t>Infraestructura y mobiliario</t>
        </is>
      </c>
      <c r="B7" s="17" t="inlineStr">
        <is>
          <t>La Rural — Jefatura de Infraestructura</t>
        </is>
      </c>
      <c r="C7" s="18" t="inlineStr">
        <is>
          <t>Paneles oficina producción 25 m², sala staff 100 m², depósito 64 m² (2.500 barras), camarín speakers, mobiliario, dirección técnica, guardia eléctrica y técnica. NO incluye sillas (fila aparte).</t>
        </is>
      </c>
      <c r="D7" s="16" t="inlineStr">
        <is>
          <t>Cotizado</t>
        </is>
      </c>
      <c r="E7" s="17" t="inlineStr">
        <is>
          <t>ARS</t>
        </is>
      </c>
      <c r="F7" s="19" t="n">
        <v>23994708.2</v>
      </c>
      <c r="G7" s="20" t="n"/>
      <c r="H7" s="21">
        <f>IF(F7="","",F7*(1+N(G7)))</f>
        <v/>
      </c>
      <c r="I7" s="22">
        <f>IF(H7="",N(J7),IF(E7="USD",H7,H7/TABLERO!$C$4))</f>
        <v/>
      </c>
      <c r="J7" s="23" t="n"/>
      <c r="K7" s="22">
        <f>IF(D7="Alternativa","",I7-N(J7))</f>
        <v/>
      </c>
      <c r="L7" s="24" t="inlineStr">
        <is>
          <t>Mail criccio@larural.com.ar 17/08/2026 · total del PDF $66.494.708 menos $42.500.000 de sillas</t>
        </is>
      </c>
    </row>
    <row r="8" ht="42" customHeight="1">
      <c r="A8" s="25" t="inlineStr">
        <is>
          <t>Sillas del público (5.000)</t>
        </is>
      </c>
      <c r="B8" s="26" t="inlineStr">
        <is>
          <t>La Rural — Infraestructura</t>
        </is>
      </c>
      <c r="C8" s="27" t="inlineStr">
        <is>
          <t>Silla imperio bordó 5.000 u. a $8.500 c/u, dentro del presupuesto de infraestructura</t>
        </is>
      </c>
      <c r="D8" s="25" t="inlineStr">
        <is>
          <t>Alternativa</t>
        </is>
      </c>
      <c r="E8" s="26" t="inlineStr">
        <is>
          <t>ARS</t>
        </is>
      </c>
      <c r="F8" s="28" t="n">
        <v>42500000</v>
      </c>
      <c r="G8" s="29" t="n"/>
      <c r="H8" s="30">
        <f>IF(F8="","",F8*(1+N(G8)))</f>
        <v/>
      </c>
      <c r="I8" s="31">
        <f>IF(H8="",N(J8),IF(E8="USD",H8,H8/TABLERO!$C$4))</f>
        <v/>
      </c>
      <c r="J8" s="32" t="n"/>
      <c r="K8" s="31">
        <f>IF(D8="Alternativa","",I8-N(J8))</f>
        <v/>
      </c>
      <c r="L8" s="33" t="inlineStr">
        <is>
          <t>Mail criccio@larural.com.ar 17/08/2026</t>
        </is>
      </c>
    </row>
    <row r="9" ht="42" customHeight="1">
      <c r="A9" s="16" t="inlineStr">
        <is>
          <t>Sillas del público (5.500)</t>
        </is>
      </c>
      <c r="B9" s="17" t="inlineStr">
        <is>
          <t>FDL Eventos</t>
        </is>
      </c>
      <c r="C9" s="18" t="inlineStr">
        <is>
          <t>4.500 sillas plásticas Munro reforzadas + 1.000 sillas hotel negro + flete. NO incluye armado.</t>
        </is>
      </c>
      <c r="D9" s="16" t="inlineStr">
        <is>
          <t>Cotizado</t>
        </is>
      </c>
      <c r="E9" s="17" t="inlineStr">
        <is>
          <t>ARS</t>
        </is>
      </c>
      <c r="F9" s="19" t="n">
        <v>25800000</v>
      </c>
      <c r="G9" s="20" t="n">
        <v>0.21</v>
      </c>
      <c r="H9" s="21">
        <f>IF(F9="","",F9*(1+N(G9)))</f>
        <v/>
      </c>
      <c r="I9" s="22">
        <f>IF(H9="",N(J9),IF(E9="USD",H9,H9/TABLERO!$C$4))</f>
        <v/>
      </c>
      <c r="J9" s="23" t="n">
        <v>16500</v>
      </c>
      <c r="K9" s="22">
        <f>IF(D9="Alternativa","",I9-N(J9))</f>
        <v/>
      </c>
      <c r="L9" s="24" t="inlineStr">
        <is>
          <t>Mail fdleventos@gmail.com 07/08/2026 · pendiente de resolver facturación al exterior</t>
        </is>
      </c>
    </row>
    <row r="10" ht="42" customHeight="1">
      <c r="A10" s="16" t="inlineStr">
        <is>
          <t>Conectividad WiFi</t>
        </is>
      </c>
      <c r="B10" s="17" t="inlineStr">
        <is>
          <t>La Rural — Servicios de Conectividad</t>
        </is>
      </c>
      <c r="C10" s="18" t="inlineStr">
        <is>
          <t>2 redes privadas de 30 Mbps (técnica + staff/acreditación), 2 al 4 de octubre</t>
        </is>
      </c>
      <c r="D10" s="16" t="inlineStr">
        <is>
          <t>Cotizado</t>
        </is>
      </c>
      <c r="E10" s="17" t="inlineStr">
        <is>
          <t>ARS</t>
        </is>
      </c>
      <c r="F10" s="19" t="n">
        <v>1438728.01</v>
      </c>
      <c r="G10" s="20" t="n">
        <v>0.21</v>
      </c>
      <c r="H10" s="21">
        <f>IF(F10="","",F10*(1+N(G10)))</f>
        <v/>
      </c>
      <c r="I10" s="22">
        <f>IF(H10="",N(J10),IF(E10="USD",H10,H10/TABLERO!$C$4))</f>
        <v/>
      </c>
      <c r="J10" s="23" t="n">
        <v>800</v>
      </c>
      <c r="K10" s="22">
        <f>IF(D10="Alternativa","",I10-N(J10))</f>
        <v/>
      </c>
      <c r="L10" s="24" t="inlineStr">
        <is>
          <t>Mail conectividad@larural.com.ar 16/06/2026</t>
        </is>
      </c>
    </row>
    <row r="11">
      <c r="A11" s="34" t="inlineStr">
        <is>
          <t>Subtotal Sede</t>
        </is>
      </c>
      <c r="B11" s="35" t="n"/>
      <c r="C11" s="35" t="n"/>
      <c r="D11" s="35" t="n"/>
      <c r="E11" s="35" t="n"/>
      <c r="F11" s="35" t="n"/>
      <c r="G11" s="35" t="n"/>
      <c r="H11" s="35" t="n"/>
      <c r="I11" s="36">
        <f>SUMIF($D$6:$D$10,"&lt;&gt;Alternativa",$I$6:$I$10)</f>
        <v/>
      </c>
      <c r="J11" s="36">
        <f>SUM($J$6:$J$10)</f>
        <v/>
      </c>
      <c r="K11" s="36">
        <f>I11-J11</f>
        <v/>
      </c>
      <c r="L11" s="35" t="n"/>
    </row>
    <row r="12" ht="20" customHeight="1">
      <c r="A12" s="7" t="inlineStr">
        <is>
          <t>TÉCNICA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42" customHeight="1">
      <c r="A13" s="16" t="inlineStr">
        <is>
          <t>Producción técnica integral</t>
        </is>
      </c>
      <c r="B13" s="17" t="inlineStr">
        <is>
          <t>Prina</t>
        </is>
      </c>
      <c r="C13" s="18" t="inlineStr">
        <is>
          <t>LED 40 m² + video 4 cámaras + sonido Adamson + iluminación + estructura, staff y guardias. 50% anticipo.</t>
        </is>
      </c>
      <c r="D13" s="16" t="inlineStr">
        <is>
          <t>Cotizado</t>
        </is>
      </c>
      <c r="E13" s="17" t="inlineStr">
        <is>
          <t>ARS</t>
        </is>
      </c>
      <c r="F13" s="19" t="n">
        <v>48885000</v>
      </c>
      <c r="G13" s="20" t="n">
        <v>0.21</v>
      </c>
      <c r="H13" s="21">
        <f>IF(F13="","",F13*(1+N(G13)))</f>
        <v/>
      </c>
      <c r="I13" s="22">
        <f>IF(H13="",N(J13),IF(E13="USD",H13,H13/TABLERO!$C$4))</f>
        <v/>
      </c>
      <c r="J13" s="23" t="n">
        <v>34000</v>
      </c>
      <c r="K13" s="22">
        <f>IF(D13="Alternativa","",I13-N(J13))</f>
        <v/>
      </c>
      <c r="L13" s="24" t="inlineStr">
        <is>
          <t>Mail valentin.andina@prina.net 18/06/2026 · validez 10 días (VENCIDA)</t>
        </is>
      </c>
    </row>
    <row r="14" ht="42" customHeight="1">
      <c r="A14" s="25" t="inlineStr">
        <is>
          <t>Pantallas LED (alternativa parcial)</t>
        </is>
      </c>
      <c r="B14" s="26" t="inlineStr">
        <is>
          <t>VMG</t>
        </is>
      </c>
      <c r="C14" s="27" t="inlineStr">
        <is>
          <t>Sólo pantallas LED 65 m² con operadores y traslado</t>
        </is>
      </c>
      <c r="D14" s="25" t="inlineStr">
        <is>
          <t>Alternativa</t>
        </is>
      </c>
      <c r="E14" s="26" t="inlineStr">
        <is>
          <t>ARS</t>
        </is>
      </c>
      <c r="F14" s="28" t="n">
        <v>12625000</v>
      </c>
      <c r="G14" s="29" t="n">
        <v>0.21</v>
      </c>
      <c r="H14" s="30">
        <f>IF(F14="","",F14*(1+N(G14)))</f>
        <v/>
      </c>
      <c r="I14" s="31">
        <f>IF(H14="",N(J14),IF(E14="USD",H14,H14/TABLERO!$C$4))</f>
        <v/>
      </c>
      <c r="J14" s="32" t="n"/>
      <c r="K14" s="31">
        <f>IF(D14="Alternativa","",I14-N(J14))</f>
        <v/>
      </c>
      <c r="L14" s="33" t="inlineStr">
        <is>
          <t>Mail presupuestos@vmg-web.com 29/06/2026 · recotiza si el dólar salta más de 15%</t>
        </is>
      </c>
    </row>
    <row r="15">
      <c r="A15" s="34" t="inlineStr">
        <is>
          <t>Subtotal Técnica</t>
        </is>
      </c>
      <c r="B15" s="35" t="n"/>
      <c r="C15" s="35" t="n"/>
      <c r="D15" s="35" t="n"/>
      <c r="E15" s="35" t="n"/>
      <c r="F15" s="35" t="n"/>
      <c r="G15" s="35" t="n"/>
      <c r="H15" s="35" t="n"/>
      <c r="I15" s="36">
        <f>SUMIF($D$13:$D$14,"&lt;&gt;Alternativa",$I$13:$I$14)</f>
        <v/>
      </c>
      <c r="J15" s="36">
        <f>SUM($J$13:$J$14)</f>
        <v/>
      </c>
      <c r="K15" s="36">
        <f>I15-J15</f>
        <v/>
      </c>
      <c r="L15" s="35" t="n"/>
    </row>
    <row r="16" ht="20" customHeight="1">
      <c r="A16" s="7" t="inlineStr">
        <is>
          <t>SERVICIOS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42" customHeight="1">
      <c r="A17" s="16" t="inlineStr">
        <is>
          <t>Seguridad y vigilancia</t>
        </is>
      </c>
      <c r="B17" s="17" t="inlineStr">
        <is>
          <t>Road Seguridad S.A.</t>
        </is>
      </c>
      <c r="C17" s="18" t="inlineStr">
        <is>
          <t>263 horas de vigilancia (armado, evento y desarme) + planos de evacuación $715.000 + supervisión general $795.000</t>
        </is>
      </c>
      <c r="D17" s="16" t="inlineStr">
        <is>
          <t>Cotizado</t>
        </is>
      </c>
      <c r="E17" s="17" t="inlineStr">
        <is>
          <t>ARS</t>
        </is>
      </c>
      <c r="F17" s="19" t="n">
        <v>7218928.96</v>
      </c>
      <c r="G17" s="20" t="n">
        <v>0.21</v>
      </c>
      <c r="H17" s="21">
        <f>IF(F17="","",F17*(1+N(G17)))</f>
        <v/>
      </c>
      <c r="I17" s="22">
        <f>IF(H17="",N(J17),IF(E17="USD",H17,H17/TABLERO!$C$4))</f>
        <v/>
      </c>
      <c r="J17" s="23" t="n"/>
      <c r="K17" s="22">
        <f>IF(D17="Alternativa","",I17-N(J17))</f>
        <v/>
      </c>
      <c r="L17" s="24" t="inlineStr">
        <is>
          <t>Mail presupuestos@roadseguridad.com.ar 12/08/2026 (versión V3 con las modificaciones pedidas)</t>
        </is>
      </c>
    </row>
    <row r="18" ht="42" customHeight="1">
      <c r="A18" s="16" t="inlineStr">
        <is>
          <t>Servicio médico</t>
        </is>
      </c>
      <c r="B18" s="17" t="inlineStr">
        <is>
          <t>Vittal — Socorro Médico Privado</t>
        </is>
      </c>
      <c r="C18" s="18" t="inlineStr">
        <is>
          <t>1 UTIM TRI con dos médicos + enfermero/chofer, los tres días (2, 3 y 4 de octubre)</t>
        </is>
      </c>
      <c r="D18" s="16" t="inlineStr">
        <is>
          <t>Cotizado</t>
        </is>
      </c>
      <c r="E18" s="17" t="inlineStr">
        <is>
          <t>ARS</t>
        </is>
      </c>
      <c r="F18" s="19" t="n">
        <v>6366521.27</v>
      </c>
      <c r="G18" s="20" t="n">
        <v>0.105</v>
      </c>
      <c r="H18" s="21">
        <f>IF(F18="","",F18*(1+N(G18)))</f>
        <v/>
      </c>
      <c r="I18" s="22">
        <f>IF(H18="",N(J18),IF(E18="USD",H18,H18/TABLERO!$C$4))</f>
        <v/>
      </c>
      <c r="J18" s="23" t="n"/>
      <c r="K18" s="22">
        <f>IF(D18="Alternativa","",I18-N(J18))</f>
        <v/>
      </c>
      <c r="L18" s="24" t="inlineStr">
        <is>
          <t>Mail vtomas@vittal.com.ar 28/08/2026 · tarifas actualizadas, sin consultorio</t>
        </is>
      </c>
    </row>
    <row r="19" ht="42" customHeight="1">
      <c r="A19" s="16" t="inlineStr">
        <is>
          <t>Limpieza</t>
        </is>
      </c>
      <c r="B19" s="17" t="inlineStr">
        <is>
          <t>Higia Eventos</t>
        </is>
      </c>
      <c r="C19" s="18" t="inlineStr">
        <is>
          <t>205,5 horas de limpieza: auditorio, baños y guardarropas, del 2 al 5 de octubre</t>
        </is>
      </c>
      <c r="D19" s="16" t="inlineStr">
        <is>
          <t>Cotizado</t>
        </is>
      </c>
      <c r="E19" s="17" t="inlineStr">
        <is>
          <t>ARS</t>
        </is>
      </c>
      <c r="F19" s="19" t="n">
        <v>3367440.91</v>
      </c>
      <c r="G19" s="20" t="n">
        <v>0.21</v>
      </c>
      <c r="H19" s="21">
        <f>IF(F19="","",F19*(1+N(G19)))</f>
        <v/>
      </c>
      <c r="I19" s="22">
        <f>IF(H19="",N(J19),IF(E19="USD",H19,H19/TABLERO!$C$4))</f>
        <v/>
      </c>
      <c r="J19" s="23" t="n"/>
      <c r="K19" s="22">
        <f>IF(D19="Alternativa","",I19-N(J19))</f>
        <v/>
      </c>
      <c r="L19" s="24" t="inlineStr">
        <is>
          <t>Mail higiaeventos 22/06/2026 (reenviado 29/06) · 50% de anticipo antes del armado</t>
        </is>
      </c>
    </row>
    <row r="20" ht="42" customHeight="1">
      <c r="A20" s="16" t="inlineStr">
        <is>
          <t>Retiro de residuos</t>
        </is>
      </c>
      <c r="B20" s="17" t="inlineStr">
        <is>
          <t>Gale Servicios</t>
        </is>
      </c>
      <c r="C20" s="18" t="inlineStr">
        <is>
          <t>Roll off con disposición final incluida. Cotización base abril 2026.</t>
        </is>
      </c>
      <c r="D20" s="16" t="inlineStr">
        <is>
          <t>Cotizado</t>
        </is>
      </c>
      <c r="E20" s="17" t="inlineStr">
        <is>
          <t>ARS</t>
        </is>
      </c>
      <c r="F20" s="19" t="n">
        <v>1471608.62</v>
      </c>
      <c r="G20" s="20" t="n">
        <v>0.21</v>
      </c>
      <c r="H20" s="21">
        <f>IF(F20="","",F20*(1+N(G20)))</f>
        <v/>
      </c>
      <c r="I20" s="22">
        <f>IF(H20="",N(J20),IF(E20="USD",H20,H20/TABLERO!$C$4))</f>
        <v/>
      </c>
      <c r="J20" s="23" t="n"/>
      <c r="K20" s="22">
        <f>IF(D20="Alternativa","",I20-N(J20))</f>
        <v/>
      </c>
      <c r="L20" s="24" t="inlineStr">
        <is>
          <t>Mail higiaeventos 22/06/2026 (adjunto Gale) · se factura 100% por adelantado</t>
        </is>
      </c>
    </row>
    <row r="21" ht="42" customHeight="1">
      <c r="A21" s="16" t="inlineStr">
        <is>
          <t>Seguro de accidentes personales</t>
        </is>
      </c>
      <c r="B21" s="17" t="inlineStr">
        <is>
          <t>Chanes Seguros</t>
        </is>
      </c>
      <c r="C21" s="18" t="inlineStr">
        <is>
          <t>Cobertura MIA (muerte, invalidez y asistencia médica) para 150 personas, exigida por La Rural</t>
        </is>
      </c>
      <c r="D21" s="16" t="inlineStr">
        <is>
          <t>Cotizado</t>
        </is>
      </c>
      <c r="E21" s="17" t="inlineStr">
        <is>
          <t>ARS</t>
        </is>
      </c>
      <c r="F21" s="19" t="n">
        <v>953151.9300000001</v>
      </c>
      <c r="G21" s="20" t="n"/>
      <c r="H21" s="21">
        <f>IF(F21="","",F21*(1+N(G21)))</f>
        <v/>
      </c>
      <c r="I21" s="22">
        <f>IF(H21="",N(J21),IF(E21="USD",H21,H21/TABLERO!$C$4))</f>
        <v/>
      </c>
      <c r="J21" s="23" t="n">
        <v>400</v>
      </c>
      <c r="K21" s="22">
        <f>IF(D21="Alternativa","",I21-N(J21))</f>
        <v/>
      </c>
      <c r="L21" s="24" t="inlineStr">
        <is>
          <t>Mail nestor@chanesseguros.com.ar 13/07/2026 · premio único, cotizado para 15-19/07</t>
        </is>
      </c>
    </row>
    <row r="22">
      <c r="A22" s="34" t="inlineStr">
        <is>
          <t>Subtotal Servicios</t>
        </is>
      </c>
      <c r="B22" s="35" t="n"/>
      <c r="C22" s="35" t="n"/>
      <c r="D22" s="35" t="n"/>
      <c r="E22" s="35" t="n"/>
      <c r="F22" s="35" t="n"/>
      <c r="G22" s="35" t="n"/>
      <c r="H22" s="35" t="n"/>
      <c r="I22" s="36">
        <f>SUMIF($D$17:$D$21,"&lt;&gt;Alternativa",$I$17:$I$21)</f>
        <v/>
      </c>
      <c r="J22" s="36">
        <f>SUM($J$17:$J$21)</f>
        <v/>
      </c>
      <c r="K22" s="36">
        <f>I22-J22</f>
        <v/>
      </c>
      <c r="L22" s="35" t="n"/>
    </row>
    <row r="23" ht="20" customHeight="1">
      <c r="A23" s="7" t="inlineStr">
        <is>
          <t>MERCH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42" customHeight="1">
      <c r="A24" s="16" t="inlineStr">
        <is>
          <t>Cintas portacredencial (1.300)</t>
        </is>
      </c>
      <c r="B24" s="17" t="inlineStr">
        <is>
          <t>Blocko</t>
        </is>
      </c>
      <c r="C24" s="18" t="inlineStr">
        <is>
          <t>Cinta raso 25 mm impresa 4 colores dos caras + mosquetón zamak, $1.346 c/u</t>
        </is>
      </c>
      <c r="D24" s="16" t="inlineStr">
        <is>
          <t>Cotizado</t>
        </is>
      </c>
      <c r="E24" s="17" t="inlineStr">
        <is>
          <t>ARS</t>
        </is>
      </c>
      <c r="F24" s="19" t="n">
        <v>1749800</v>
      </c>
      <c r="G24" s="20" t="n">
        <v>0.21</v>
      </c>
      <c r="H24" s="21">
        <f>IF(F24="","",F24*(1+N(G24)))</f>
        <v/>
      </c>
      <c r="I24" s="22">
        <f>IF(H24="",N(J24),IF(E24="USD",H24,H24/TABLERO!$C$4))</f>
        <v/>
      </c>
      <c r="J24" s="23" t="n"/>
      <c r="K24" s="22">
        <f>IF(D24="Alternativa","",I24-N(J24))</f>
        <v/>
      </c>
      <c r="L24" s="24" t="inlineStr">
        <is>
          <t>Mail hola@blocko.com.ar 09/06/2026 · producción 3 semanas</t>
        </is>
      </c>
    </row>
    <row r="25" ht="42" customHeight="1">
      <c r="A25" s="9" t="inlineStr">
        <is>
          <t>Pañuelos</t>
        </is>
      </c>
      <c r="B25" s="10" t="inlineStr">
        <is>
          <t>Proveedor Colombia</t>
        </is>
      </c>
      <c r="C25" s="11" t="inlineStr">
        <is>
          <t>Contrato cerrado, 50% abonado el 24/06. Saldo US$5.491 programado al 13/09.</t>
        </is>
      </c>
      <c r="D25" s="9" t="inlineStr">
        <is>
          <t>Contratado</t>
        </is>
      </c>
      <c r="E25" s="10" t="inlineStr">
        <is>
          <t>USD</t>
        </is>
      </c>
      <c r="F25" s="12" t="n">
        <v>10982</v>
      </c>
      <c r="G25" s="13" t="n"/>
      <c r="H25" s="14">
        <f>IF(F25="","",F25*(1+N(G25)))</f>
        <v/>
      </c>
      <c r="I25" s="14">
        <f>IF(H25="",N(J25),IF(E25="USD",H25,H25/TABLERO!$C$4))</f>
        <v/>
      </c>
      <c r="J25" s="12" t="n"/>
      <c r="K25" s="14">
        <f>IF(D25="Alternativa","",I25-N(J25))</f>
        <v/>
      </c>
      <c r="L25" s="15" t="inlineStr">
        <is>
          <t>Hoja PAGOS del master</t>
        </is>
      </c>
    </row>
    <row r="26" ht="42" customHeight="1">
      <c r="A26" s="9" t="inlineStr">
        <is>
          <t>Lanyards</t>
        </is>
      </c>
      <c r="B26" s="10" t="inlineStr">
        <is>
          <t>Proveedor Colombia</t>
        </is>
      </c>
      <c r="C26" s="11" t="inlineStr">
        <is>
          <t>Contrato cerrado, 50% abonado el 25/06. Saldo US$850 al 13/09.</t>
        </is>
      </c>
      <c r="D26" s="9" t="inlineStr">
        <is>
          <t>Contratado</t>
        </is>
      </c>
      <c r="E26" s="10" t="inlineStr">
        <is>
          <t>USD</t>
        </is>
      </c>
      <c r="F26" s="12" t="n">
        <v>1698.59</v>
      </c>
      <c r="G26" s="13" t="n"/>
      <c r="H26" s="14">
        <f>IF(F26="","",F26*(1+N(G26)))</f>
        <v/>
      </c>
      <c r="I26" s="14">
        <f>IF(H26="",N(J26),IF(E26="USD",H26,H26/TABLERO!$C$4))</f>
        <v/>
      </c>
      <c r="J26" s="12" t="n"/>
      <c r="K26" s="14">
        <f>IF(D26="Alternativa","",I26-N(J26))</f>
        <v/>
      </c>
      <c r="L26" s="15" t="inlineStr">
        <is>
          <t>Hoja PAGOS del master</t>
        </is>
      </c>
    </row>
    <row r="27" ht="42" customHeight="1">
      <c r="A27" s="9" t="inlineStr">
        <is>
          <t>Gorras</t>
        </is>
      </c>
      <c r="B27" s="10" t="inlineStr">
        <is>
          <t>Proveedor Colombia</t>
        </is>
      </c>
      <c r="C27" s="11" t="inlineStr">
        <is>
          <t>Pagado 100% el 25/06</t>
        </is>
      </c>
      <c r="D27" s="9" t="inlineStr">
        <is>
          <t>Contratado</t>
        </is>
      </c>
      <c r="E27" s="10" t="inlineStr">
        <is>
          <t>USD</t>
        </is>
      </c>
      <c r="F27" s="12" t="n">
        <v>1825</v>
      </c>
      <c r="G27" s="13" t="n"/>
      <c r="H27" s="14">
        <f>IF(F27="","",F27*(1+N(G27)))</f>
        <v/>
      </c>
      <c r="I27" s="14">
        <f>IF(H27="",N(J27),IF(E27="USD",H27,H27/TABLERO!$C$4))</f>
        <v/>
      </c>
      <c r="J27" s="12" t="n">
        <v>5000</v>
      </c>
      <c r="K27" s="14">
        <f>IF(D27="Alternativa","",I27-N(J27))</f>
        <v/>
      </c>
      <c r="L27" s="15" t="inlineStr">
        <is>
          <t>Hoja PAGOS del master</t>
        </is>
      </c>
    </row>
    <row r="28" ht="42" customHeight="1">
      <c r="A28" s="9" t="inlineStr">
        <is>
          <t>Gráfica Argentina</t>
        </is>
      </c>
      <c r="B28" s="10" t="inlineStr">
        <is>
          <t>Proveedor Colombia</t>
        </is>
      </c>
      <c r="C28" s="11" t="inlineStr">
        <is>
          <t>Contrato cerrado, saldo US$1.839 al 13/09</t>
        </is>
      </c>
      <c r="D28" s="9" t="inlineStr">
        <is>
          <t>Contratado</t>
        </is>
      </c>
      <c r="E28" s="10" t="inlineStr">
        <is>
          <t>USD</t>
        </is>
      </c>
      <c r="F28" s="12" t="n">
        <v>2481</v>
      </c>
      <c r="G28" s="13" t="n"/>
      <c r="H28" s="14">
        <f>IF(F28="","",F28*(1+N(G28)))</f>
        <v/>
      </c>
      <c r="I28" s="14">
        <f>IF(H28="",N(J28),IF(E28="USD",H28,H28/TABLERO!$C$4))</f>
        <v/>
      </c>
      <c r="J28" s="12" t="n"/>
      <c r="K28" s="14">
        <f>IF(D28="Alternativa","",I28-N(J28))</f>
        <v/>
      </c>
      <c r="L28" s="15" t="inlineStr">
        <is>
          <t>Hoja PAGOS del master</t>
        </is>
      </c>
    </row>
    <row r="29" ht="42" customHeight="1">
      <c r="A29" s="37" t="inlineStr">
        <is>
          <t>Resto de merch e impresos</t>
        </is>
      </c>
      <c r="B29" s="38" t="inlineStr">
        <is>
          <t>Varios (merch desde Colombia)</t>
        </is>
      </c>
      <c r="C29" s="39" t="inlineStr">
        <is>
          <t>Contratos, cheques, escarapelas, bolsas, camisetas, mapas, diplomas, placas, manillas</t>
        </is>
      </c>
      <c r="D29" s="37" t="inlineStr">
        <is>
          <t>Sin cotizar</t>
        </is>
      </c>
      <c r="E29" s="38" t="inlineStr">
        <is>
          <t>USD</t>
        </is>
      </c>
      <c r="F29" s="40" t="n"/>
      <c r="G29" s="41" t="n"/>
      <c r="H29" s="42">
        <f>IF(F29="","",F29*(1+N(G29)))</f>
        <v/>
      </c>
      <c r="I29" s="42">
        <f>IF(H29="",N(J29),IF(E29="USD",H29,H29/TABLERO!$C$4))</f>
        <v/>
      </c>
      <c r="J29" s="40" t="n">
        <v>8689</v>
      </c>
      <c r="K29" s="42">
        <f>IF(D29="Alternativa","",I29-N(J29))</f>
        <v/>
      </c>
      <c r="L29" s="43" t="inlineStr">
        <is>
          <t>Estimado de la hoja Argentina del master; sin cotización argentina</t>
        </is>
      </c>
    </row>
    <row r="30">
      <c r="A30" s="34" t="inlineStr">
        <is>
          <t>Subtotal Merch</t>
        </is>
      </c>
      <c r="B30" s="35" t="n"/>
      <c r="C30" s="35" t="n"/>
      <c r="D30" s="35" t="n"/>
      <c r="E30" s="35" t="n"/>
      <c r="F30" s="35" t="n"/>
      <c r="G30" s="35" t="n"/>
      <c r="H30" s="35" t="n"/>
      <c r="I30" s="36">
        <f>SUMIF($D$24:$D$29,"&lt;&gt;Alternativa",$I$24:$I$29)</f>
        <v/>
      </c>
      <c r="J30" s="36">
        <f>SUM($J$24:$J$29)</f>
        <v/>
      </c>
      <c r="K30" s="36">
        <f>I30-J30</f>
        <v/>
      </c>
      <c r="L30" s="35" t="n"/>
    </row>
    <row r="31" ht="20" customHeight="1">
      <c r="A31" s="7" t="inlineStr">
        <is>
          <t>CATERING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42" customHeight="1">
      <c r="A32" s="37" t="inlineStr">
        <is>
          <t>Catering VIP, staff y equipo</t>
        </is>
      </c>
      <c r="B32" s="38" t="inlineStr">
        <is>
          <t>A definir (Teist / Ambient / Azulado)</t>
        </is>
      </c>
      <c r="C32" s="39" t="inlineStr">
        <is>
          <t>AmbientHouse cotizó viandas a $28.500 + IVA por persona por día con base mínima de 480, y se rechazó por estar a precio de consumidor final. Teist envió propuesta el 26/06 sin cerrar.</t>
        </is>
      </c>
      <c r="D32" s="37" t="inlineStr">
        <is>
          <t>Sin cotizar</t>
        </is>
      </c>
      <c r="E32" s="38" t="inlineStr">
        <is>
          <t>USD</t>
        </is>
      </c>
      <c r="F32" s="40" t="n"/>
      <c r="G32" s="41" t="n"/>
      <c r="H32" s="42">
        <f>IF(F32="","",F32*(1+N(G32)))</f>
        <v/>
      </c>
      <c r="I32" s="42">
        <f>IF(H32="",N(J32),IF(E32="USD",H32,H32/TABLERO!$C$4))</f>
        <v/>
      </c>
      <c r="J32" s="40" t="n">
        <v>33820</v>
      </c>
      <c r="K32" s="42">
        <f>IF(D32="Alternativa","",I32-N(J32))</f>
        <v/>
      </c>
      <c r="L32" s="43" t="inlineStr">
        <is>
          <t>Estimado de la hoja Argentina del master; ninguna cotización aceptada todavía</t>
        </is>
      </c>
    </row>
    <row r="33">
      <c r="A33" s="34" t="inlineStr">
        <is>
          <t>Subtotal Catering</t>
        </is>
      </c>
      <c r="B33" s="35" t="n"/>
      <c r="C33" s="35" t="n"/>
      <c r="D33" s="35" t="n"/>
      <c r="E33" s="35" t="n"/>
      <c r="F33" s="35" t="n"/>
      <c r="G33" s="35" t="n"/>
      <c r="H33" s="35" t="n"/>
      <c r="I33" s="36">
        <f>SUMIF($D$32:$D$32,"&lt;&gt;Alternativa",$I$32:$I$32)</f>
        <v/>
      </c>
      <c r="J33" s="36">
        <f>SUM($J$32:$J$32)</f>
        <v/>
      </c>
      <c r="K33" s="36">
        <f>I33-J33</f>
        <v/>
      </c>
      <c r="L33" s="35" t="n"/>
    </row>
    <row r="34" ht="20" customHeight="1">
      <c r="A34" s="7" t="inlineStr">
        <is>
          <t>PRODUCCIÓN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42" customHeight="1">
      <c r="A35" s="37" t="inlineStr">
        <is>
          <t>Unifilas y vallado</t>
        </is>
      </c>
      <c r="B35" s="38" t="inlineStr">
        <is>
          <t>A definir</t>
        </is>
      </c>
      <c r="C35" s="39" t="inlineStr">
        <is>
          <t>Estimado del sheet, sin cotización</t>
        </is>
      </c>
      <c r="D35" s="37" t="inlineStr">
        <is>
          <t>Sin cotizar</t>
        </is>
      </c>
      <c r="E35" s="38" t="inlineStr">
        <is>
          <t>USD</t>
        </is>
      </c>
      <c r="F35" s="40" t="n"/>
      <c r="G35" s="41" t="n"/>
      <c r="H35" s="42">
        <f>IF(F35="","",F35*(1+N(G35)))</f>
        <v/>
      </c>
      <c r="I35" s="42">
        <f>IF(H35="",N(J35),IF(E35="USD",H35,H35/TABLERO!$C$4))</f>
        <v/>
      </c>
      <c r="J35" s="40" t="n">
        <v>2450</v>
      </c>
      <c r="K35" s="42">
        <f>IF(D35="Alternativa","",I35-N(J35))</f>
        <v/>
      </c>
      <c r="L35" s="43" t="inlineStr">
        <is>
          <t>Hoja Argentina del master (unifilas US$1.200 + vallas US$1.250)</t>
        </is>
      </c>
    </row>
    <row r="36" ht="42" customHeight="1">
      <c r="A36" s="37" t="inlineStr">
        <is>
          <t>DJ</t>
        </is>
      </c>
      <c r="B36" s="38" t="inlineStr">
        <is>
          <t>A definir</t>
        </is>
      </c>
      <c r="C36" s="39" t="inlineStr">
        <is>
          <t>Estimado del sheet</t>
        </is>
      </c>
      <c r="D36" s="37" t="inlineStr">
        <is>
          <t>Sin cotizar</t>
        </is>
      </c>
      <c r="E36" s="38" t="inlineStr">
        <is>
          <t>USD</t>
        </is>
      </c>
      <c r="F36" s="40" t="n"/>
      <c r="G36" s="41" t="n"/>
      <c r="H36" s="42">
        <f>IF(F36="","",F36*(1+N(G36)))</f>
        <v/>
      </c>
      <c r="I36" s="42">
        <f>IF(H36="",N(J36),IF(E36="USD",H36,H36/TABLERO!$C$4))</f>
        <v/>
      </c>
      <c r="J36" s="40" t="n">
        <v>500</v>
      </c>
      <c r="K36" s="42">
        <f>IF(D36="Alternativa","",I36-N(J36))</f>
        <v/>
      </c>
      <c r="L36" s="43" t="inlineStr">
        <is>
          <t>Hoja Argentina del master</t>
        </is>
      </c>
    </row>
    <row r="37" ht="42" customHeight="1">
      <c r="A37" s="37" t="inlineStr">
        <is>
          <t>Escoltas (2)</t>
        </is>
      </c>
      <c r="B37" s="38" t="inlineStr">
        <is>
          <t>A definir</t>
        </is>
      </c>
      <c r="C37" s="39" t="inlineStr">
        <is>
          <t>Estimado del sheet</t>
        </is>
      </c>
      <c r="D37" s="37" t="inlineStr">
        <is>
          <t>Sin cotizar</t>
        </is>
      </c>
      <c r="E37" s="38" t="inlineStr">
        <is>
          <t>USD</t>
        </is>
      </c>
      <c r="F37" s="40" t="n"/>
      <c r="G37" s="41" t="n"/>
      <c r="H37" s="42">
        <f>IF(F37="","",F37*(1+N(G37)))</f>
        <v/>
      </c>
      <c r="I37" s="42">
        <f>IF(H37="",N(J37),IF(E37="USD",H37,H37/TABLERO!$C$4))</f>
        <v/>
      </c>
      <c r="J37" s="40" t="n">
        <v>1000</v>
      </c>
      <c r="K37" s="42">
        <f>IF(D37="Alternativa","",I37-N(J37))</f>
        <v/>
      </c>
      <c r="L37" s="43" t="inlineStr">
        <is>
          <t>Hoja Argentina del master</t>
        </is>
      </c>
    </row>
    <row r="38" ht="42" customHeight="1">
      <c r="A38" s="37" t="inlineStr">
        <is>
          <t>Master Mind Hit</t>
        </is>
      </c>
      <c r="B38" s="38" t="inlineStr">
        <is>
          <t>A definir</t>
        </is>
      </c>
      <c r="C38" s="39" t="inlineStr">
        <is>
          <t>Sala adicional</t>
        </is>
      </c>
      <c r="D38" s="37" t="inlineStr">
        <is>
          <t>Sin cotizar</t>
        </is>
      </c>
      <c r="E38" s="38" t="inlineStr">
        <is>
          <t>USD</t>
        </is>
      </c>
      <c r="F38" s="40" t="n"/>
      <c r="G38" s="41" t="n"/>
      <c r="H38" s="42">
        <f>IF(F38="","",F38*(1+N(G38)))</f>
        <v/>
      </c>
      <c r="I38" s="42">
        <f>IF(H38="",N(J38),IF(E38="USD",H38,H38/TABLERO!$C$4))</f>
        <v/>
      </c>
      <c r="J38" s="40" t="n">
        <v>3000</v>
      </c>
      <c r="K38" s="42">
        <f>IF(D38="Alternativa","",I38-N(J38))</f>
        <v/>
      </c>
      <c r="L38" s="43" t="inlineStr">
        <is>
          <t>Hoja Argentina del master</t>
        </is>
      </c>
    </row>
    <row r="39" ht="42" customHeight="1">
      <c r="A39" s="37" t="inlineStr">
        <is>
          <t>Personal logístico</t>
        </is>
      </c>
      <c r="B39" s="38" t="inlineStr">
        <is>
          <t>A definir</t>
        </is>
      </c>
      <c r="C39" s="39" t="inlineStr">
        <is>
          <t>La hoja del master lo tiene en US$0</t>
        </is>
      </c>
      <c r="D39" s="37" t="inlineStr">
        <is>
          <t>Sin cotizar</t>
        </is>
      </c>
      <c r="E39" s="38" t="inlineStr">
        <is>
          <t>USD</t>
        </is>
      </c>
      <c r="F39" s="40" t="n"/>
      <c r="G39" s="41" t="n"/>
      <c r="H39" s="42">
        <f>IF(F39="","",F39*(1+N(G39)))</f>
        <v/>
      </c>
      <c r="I39" s="42">
        <f>IF(H39="",N(J39),IF(E39="USD",H39,H39/TABLERO!$C$4))</f>
        <v/>
      </c>
      <c r="J39" s="40" t="n"/>
      <c r="K39" s="42">
        <f>IF(D39="Alternativa","",I39-N(J39))</f>
        <v/>
      </c>
      <c r="L39" s="43" t="inlineStr">
        <is>
          <t>Hoja Argentina del master · valor en cero</t>
        </is>
      </c>
    </row>
    <row r="40" ht="42" customHeight="1">
      <c r="A40" s="9" t="inlineStr">
        <is>
          <t>Intercoms</t>
        </is>
      </c>
      <c r="B40" s="10" t="inlineStr">
        <is>
          <t>Proveedor Colombia</t>
        </is>
      </c>
      <c r="C40" s="11" t="inlineStr">
        <is>
          <t>Contrato US$560, sin abonar, 2 cuotas al 24/08 y 23/09</t>
        </is>
      </c>
      <c r="D40" s="9" t="inlineStr">
        <is>
          <t>Contratado</t>
        </is>
      </c>
      <c r="E40" s="10" t="inlineStr">
        <is>
          <t>USD</t>
        </is>
      </c>
      <c r="F40" s="12" t="n">
        <v>560</v>
      </c>
      <c r="G40" s="13" t="n"/>
      <c r="H40" s="14">
        <f>IF(F40="","",F40*(1+N(G40)))</f>
        <v/>
      </c>
      <c r="I40" s="14">
        <f>IF(H40="",N(J40),IF(E40="USD",H40,H40/TABLERO!$C$4))</f>
        <v/>
      </c>
      <c r="J40" s="12" t="n"/>
      <c r="K40" s="14">
        <f>IF(D40="Alternativa","",I40-N(J40))</f>
        <v/>
      </c>
      <c r="L40" s="15" t="inlineStr">
        <is>
          <t>Hoja PAGOS del master</t>
        </is>
      </c>
    </row>
    <row r="41">
      <c r="A41" s="34" t="inlineStr">
        <is>
          <t>Subtotal Producción</t>
        </is>
      </c>
      <c r="B41" s="35" t="n"/>
      <c r="C41" s="35" t="n"/>
      <c r="D41" s="35" t="n"/>
      <c r="E41" s="35" t="n"/>
      <c r="F41" s="35" t="n"/>
      <c r="G41" s="35" t="n"/>
      <c r="H41" s="35" t="n"/>
      <c r="I41" s="36">
        <f>SUMIF($D$35:$D$40,"&lt;&gt;Alternativa",$I$35:$I$40)</f>
        <v/>
      </c>
      <c r="J41" s="36">
        <f>SUM($J$35:$J$40)</f>
        <v/>
      </c>
      <c r="K41" s="36">
        <f>I41-J41</f>
        <v/>
      </c>
      <c r="L41" s="35" t="n"/>
    </row>
    <row r="42" ht="20" customHeight="1">
      <c r="A42" s="7" t="inlineStr">
        <is>
          <t>EQUIPO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42" customHeight="1">
      <c r="A43" s="37" t="inlineStr">
        <is>
          <t>Vuelos del equipo</t>
        </is>
      </c>
      <c r="B43" s="38" t="inlineStr">
        <is>
          <t>Sin cotizar</t>
        </is>
      </c>
      <c r="C43" s="39" t="inlineStr">
        <is>
          <t>No hay ninguna cotización de vuelos a Buenos Aires en el correo ni monto en la hoja del master</t>
        </is>
      </c>
      <c r="D43" s="37" t="inlineStr">
        <is>
          <t>Sin cotizar</t>
        </is>
      </c>
      <c r="E43" s="38" t="inlineStr">
        <is>
          <t>USD</t>
        </is>
      </c>
      <c r="F43" s="40" t="n"/>
      <c r="G43" s="41" t="n"/>
      <c r="H43" s="42">
        <f>IF(F43="","",F43*(1+N(G43)))</f>
        <v/>
      </c>
      <c r="I43" s="42">
        <f>IF(H43="",N(J43),IF(E43="USD",H43,H43/TABLERO!$C$4))</f>
        <v/>
      </c>
      <c r="J43" s="40" t="n"/>
      <c r="K43" s="42">
        <f>IF(D43="Alternativa","",I43-N(J43))</f>
        <v/>
      </c>
      <c r="L43" s="43" t="inlineStr">
        <is>
          <t>No encontrado</t>
        </is>
      </c>
    </row>
    <row r="44" ht="42" customHeight="1">
      <c r="A44" s="37" t="inlineStr">
        <is>
          <t>Alojamiento del equipo</t>
        </is>
      </c>
      <c r="B44" s="38" t="inlineStr">
        <is>
          <t>Sin cotizar</t>
        </is>
      </c>
      <c r="C44" s="39" t="inlineStr">
        <is>
          <t>No hay cotización de hotel en Buenos Aires en el correo ni monto en la hoja del master</t>
        </is>
      </c>
      <c r="D44" s="37" t="inlineStr">
        <is>
          <t>Sin cotizar</t>
        </is>
      </c>
      <c r="E44" s="38" t="inlineStr">
        <is>
          <t>USD</t>
        </is>
      </c>
      <c r="F44" s="40" t="n"/>
      <c r="G44" s="41" t="n"/>
      <c r="H44" s="42">
        <f>IF(F44="","",F44*(1+N(G44)))</f>
        <v/>
      </c>
      <c r="I44" s="42">
        <f>IF(H44="",N(J44),IF(E44="USD",H44,H44/TABLERO!$C$4))</f>
        <v/>
      </c>
      <c r="J44" s="40" t="n"/>
      <c r="K44" s="42">
        <f>IF(D44="Alternativa","",I44-N(J44))</f>
        <v/>
      </c>
      <c r="L44" s="43" t="inlineStr">
        <is>
          <t>No encontrado</t>
        </is>
      </c>
    </row>
    <row r="45" ht="42" customHeight="1">
      <c r="A45" s="37" t="inlineStr">
        <is>
          <t>Traslados internos y viáticos</t>
        </is>
      </c>
      <c r="B45" s="38" t="inlineStr">
        <is>
          <t>Sin cotizar</t>
        </is>
      </c>
      <c r="C45" s="39" t="inlineStr">
        <is>
          <t>Sin registro</t>
        </is>
      </c>
      <c r="D45" s="37" t="inlineStr">
        <is>
          <t>Sin cotizar</t>
        </is>
      </c>
      <c r="E45" s="38" t="inlineStr">
        <is>
          <t>USD</t>
        </is>
      </c>
      <c r="F45" s="40" t="n"/>
      <c r="G45" s="41" t="n"/>
      <c r="H45" s="42">
        <f>IF(F45="","",F45*(1+N(G45)))</f>
        <v/>
      </c>
      <c r="I45" s="42">
        <f>IF(H45="",N(J45),IF(E45="USD",H45,H45/TABLERO!$C$4))</f>
        <v/>
      </c>
      <c r="J45" s="40" t="n"/>
      <c r="K45" s="42">
        <f>IF(D45="Alternativa","",I45-N(J45))</f>
        <v/>
      </c>
      <c r="L45" s="43" t="inlineStr">
        <is>
          <t>No encontrado</t>
        </is>
      </c>
    </row>
    <row r="46">
      <c r="A46" s="34" t="inlineStr">
        <is>
          <t>Subtotal Equipo</t>
        </is>
      </c>
      <c r="B46" s="35" t="n"/>
      <c r="C46" s="35" t="n"/>
      <c r="D46" s="35" t="n"/>
      <c r="E46" s="35" t="n"/>
      <c r="F46" s="35" t="n"/>
      <c r="G46" s="35" t="n"/>
      <c r="H46" s="35" t="n"/>
      <c r="I46" s="36">
        <f>SUMIF($D$43:$D$45,"&lt;&gt;Alternativa",$I$43:$I$45)</f>
        <v/>
      </c>
      <c r="J46" s="36">
        <f>SUM($J$43:$J$45)</f>
        <v/>
      </c>
      <c r="K46" s="36">
        <f>I46-J46</f>
        <v/>
      </c>
      <c r="L46" s="35" t="n"/>
    </row>
    <row r="48">
      <c r="A48" s="44" t="inlineStr">
        <is>
          <t>COSTO TOTAL DEL EVENTO</t>
        </is>
      </c>
      <c r="I48" s="45">
        <f>I11+I15+I22+I30+I33+I41+I46</f>
        <v/>
      </c>
      <c r="J48" s="45">
        <f>J11+J15+J22+J30+J33+J41+J46</f>
        <v/>
      </c>
      <c r="K48" s="45">
        <f>K11+K15+K22+K30+K33+K41+K46</f>
        <v/>
      </c>
    </row>
  </sheetData>
  <autoFilter ref="A4:L4"/>
  <mergeCells count="7">
    <mergeCell ref="A16:L16"/>
    <mergeCell ref="A42:L42"/>
    <mergeCell ref="A5:L5"/>
    <mergeCell ref="A23:L23"/>
    <mergeCell ref="A31:L31"/>
    <mergeCell ref="A34:L34"/>
    <mergeCell ref="A12:L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46" t="n">
        <v>1535</v>
      </c>
      <c r="E4" s="2" t="inlineStr">
        <is>
          <t>Dólar oficial venta, Banco Nación, 02/09/2026. Editá esta celda y se recalcula todo el libro.</t>
        </is>
      </c>
    </row>
    <row r="6">
      <c r="A6" s="47" t="inlineStr">
        <is>
          <t>COSTO DEL EVENTO</t>
        </is>
      </c>
    </row>
    <row r="7">
      <c r="A7" s="5" t="inlineStr">
        <is>
          <t>Costo total (cotizaciones reales + estimados)</t>
        </is>
      </c>
      <c r="C7" s="48">
        <f>'COSTOS UNIFICADOS'!I48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48">
        <f>'COSTOS UNIFICADOS'!J48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49">
        <f>'COSTOS UNIFICADOS'!K48</f>
        <v/>
      </c>
      <c r="E9" s="2" t="inlineStr">
        <is>
          <t>Cuánto se corre el evento respecto de lo presupuestado, con los precios que hoy están sobre la mesa.</t>
        </is>
      </c>
    </row>
    <row r="11">
      <c r="A11" s="47" t="inlineStr">
        <is>
          <t>COSTO POR PERSONA</t>
        </is>
      </c>
    </row>
    <row r="12">
      <c r="A12" s="50" t="inlineStr">
        <is>
          <t>Base de cálculo</t>
        </is>
      </c>
      <c r="B12" s="50" t="inlineStr">
        <is>
          <t>Personas</t>
        </is>
      </c>
      <c r="C12" s="50" t="inlineStr">
        <is>
          <t>Costo por persona</t>
        </is>
      </c>
      <c r="E12" s="50" t="inlineStr">
        <is>
          <t>Qué incluye</t>
        </is>
      </c>
    </row>
    <row r="13">
      <c r="A13" s="51" t="inlineStr">
        <is>
          <t>Aforo general</t>
        </is>
      </c>
      <c r="B13" s="52" t="n">
        <v>5000</v>
      </c>
      <c r="C13" s="53">
        <f>IFERROR($C$7/B13,"")</f>
        <v/>
      </c>
      <c r="E13" s="2" t="inlineStr">
        <is>
          <t>Asistentes de entrada general según la hoja del master.</t>
        </is>
      </c>
    </row>
    <row r="14">
      <c r="A14" s="51" t="inlineStr">
        <is>
          <t>VIP</t>
        </is>
      </c>
      <c r="B14" s="52" t="n">
        <v>1000</v>
      </c>
      <c r="C14" s="53">
        <f>IFERROR($C$7/B14,"")</f>
        <v/>
      </c>
      <c r="E14" s="2" t="inlineStr">
        <is>
          <t>Asistentes VIP.</t>
        </is>
      </c>
    </row>
    <row r="15">
      <c r="A15" s="51" t="inlineStr">
        <is>
          <t>Asistentes pagos (general + VIP)</t>
        </is>
      </c>
      <c r="B15" s="52" t="n">
        <v>6000</v>
      </c>
      <c r="C15" s="53">
        <f>IFERROR($C$7/B15,"")</f>
        <v/>
      </c>
      <c r="E15" s="2" t="inlineStr">
        <is>
          <t>La base más útil para decidir el precio de la entrada.</t>
        </is>
      </c>
    </row>
    <row r="16">
      <c r="A16" s="51" t="inlineStr">
        <is>
          <t>Mastermind del martes</t>
        </is>
      </c>
      <c r="B16" s="52" t="n">
        <v>246</v>
      </c>
      <c r="C16" s="53">
        <f>IFERROR($C$7/B16,"")</f>
        <v/>
      </c>
      <c r="E16" s="2" t="inlineStr">
        <is>
          <t>Actividad aparte, no comparte la mayoría de los costos.</t>
        </is>
      </c>
    </row>
    <row r="17">
      <c r="A17" s="51" t="inlineStr">
        <is>
          <t>Total de personas en el predio</t>
        </is>
      </c>
      <c r="B17" s="52" t="n">
        <v>6108</v>
      </c>
      <c r="C17" s="53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47" t="inlineStr">
        <is>
          <t>ESTADO DE LOS RUBROS</t>
        </is>
      </c>
    </row>
    <row r="21">
      <c r="A21" s="5" t="inlineStr">
        <is>
          <t>Contratado (hay contrato o anticipo)</t>
        </is>
      </c>
      <c r="C21" s="54">
        <f>SUMIF('COSTOS UNIFICADOS'!$D:$D,"Contratado",'COSTOS UNIFICADOS'!$I:$I)</f>
        <v/>
      </c>
      <c r="E21" s="2" t="inlineStr">
        <is>
          <t>Sede, merch de Colombia e intercoms.</t>
        </is>
      </c>
    </row>
    <row r="22">
      <c r="A22" s="5" t="inlineStr">
        <is>
          <t>Cotizado (hay presupuesto formal)</t>
        </is>
      </c>
      <c r="C22" s="48">
        <f>SUMIF('COSTOS UNIFICADOS'!$D:$D,"Cotizado",'COSTOS UNIFICADOS'!$I:$I)</f>
        <v/>
      </c>
      <c r="E22" s="2" t="inlineStr">
        <is>
          <t>Infraestructura, técnica, seguridad, médico, limpieza, residuos, seguro, WiFi, cintas, sillas.</t>
        </is>
      </c>
    </row>
    <row r="23">
      <c r="A23" s="5" t="inlineStr">
        <is>
          <t>Sin cotizar (sólo estimado o nada)</t>
        </is>
      </c>
      <c r="C23" s="55">
        <f>SUMIF('COSTOS UNIFICADOS'!$D:$D,"Sin cotizar",'COSTOS UNIFICADOS'!$I:$I)</f>
        <v/>
      </c>
      <c r="E23" s="2" t="inlineStr">
        <is>
          <t>Catering, vuelos, alojamiento, unifilas, DJ, escoltas, Master Mind, personal logístico.</t>
        </is>
      </c>
    </row>
    <row r="24">
      <c r="A24" s="2" t="inlineStr">
        <is>
          <t>Alternativas descartadas (no suman)</t>
        </is>
      </c>
      <c r="C24" s="56">
        <f>SUMIF('COSTOS UNIFICADOS'!$D:$D,"Alternativa",'COSTOS UNIFICADOS'!$I:$I)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6" t="inlineStr">
        <is>
          <t>Sillas del público</t>
        </is>
      </c>
      <c r="B5" s="18" t="inlineStr">
        <is>
          <t>La Rural: 5.000 sillas imperio bordó por $42.500.000 (sin IVA, armado incluido)</t>
        </is>
      </c>
      <c r="C5" s="18" t="inlineStr">
        <is>
          <t>FDL Eventos: 5.500 sillas por $25.800.000 + IVA, sin armado ni facturación al exterior resuelta</t>
        </is>
      </c>
      <c r="D5" s="42">
        <f>(42500000-25800000*1.21)/TABLERO!$C$4</f>
        <v/>
      </c>
      <c r="E5" s="18" t="inlineStr">
        <is>
          <t>Pedir a La Rural el costo del armado por separado. Si armar las de FDL cuesta menos que la diferencia, conviene FDL.</t>
        </is>
      </c>
    </row>
    <row r="6" ht="56" customHeight="1">
      <c r="A6" s="16" t="inlineStr">
        <is>
          <t>Técnica</t>
        </is>
      </c>
      <c r="B6" s="18" t="inlineStr">
        <is>
          <t>Prina integral: $48.885.000 + IVA (sonido, luces, LED, video, estructura y staff)</t>
        </is>
      </c>
      <c r="C6" s="18" t="inlineStr">
        <is>
          <t>Armado por partes: VMG sólo LED $12.625.000 + IVA, más sonido e iluminación por separado</t>
        </is>
      </c>
      <c r="D6" s="22" t="n"/>
      <c r="E6" s="18" t="inlineStr">
        <is>
          <t>La cotización de Prina venció en junio. Pedir revalidación a Prina, Sound-Light y Dixi con el mismo pliego y comparar en una sola planilla.</t>
        </is>
      </c>
    </row>
    <row r="7" ht="56" customHeight="1">
      <c r="A7" s="16" t="inlineStr">
        <is>
          <t>Catering</t>
        </is>
      </c>
      <c r="B7" s="18" t="inlineStr">
        <is>
          <t>AmbientHouse: viandas $28.500 + IVA por persona por día, base mínima 480</t>
        </is>
      </c>
      <c r="C7" s="18" t="inlineStr">
        <is>
          <t>Teist: propuesta del 26/06 sin cerrar. Azulado nunca envió.</t>
        </is>
      </c>
      <c r="D7" s="22" t="n"/>
      <c r="E7" s="18" t="inlineStr">
        <is>
          <t>Es el hueco más grande del presupuesto. Definir alcance (¿desayuno VIP para 1.000?) y pedir tres cotizaciones comparables esta semana.</t>
        </is>
      </c>
    </row>
    <row r="8" ht="56" customHeight="1">
      <c r="A8" s="16" t="inlineStr">
        <is>
          <t>Vuelos y alojamiento del equipo</t>
        </is>
      </c>
      <c r="B8" s="18" t="inlineStr">
        <is>
          <t>Sin cotizar</t>
        </is>
      </c>
      <c r="C8" s="18" t="inlineStr">
        <is>
          <t>Sin cotizar</t>
        </is>
      </c>
      <c r="D8" s="22" t="n"/>
      <c r="E8" s="18" t="inlineStr">
        <is>
          <t>No hay ni un mail ni una línea en el sheet. Con 8 personas del equipo interno, es plata que hoy no está en ningún número.</t>
        </is>
      </c>
    </row>
    <row r="9" ht="56" customHeight="1">
      <c r="A9" s="16" t="inlineStr">
        <is>
          <t>Facturación al exterior</t>
        </is>
      </c>
      <c r="B9" s="18" t="inlineStr">
        <is>
          <t>FDL Eventos y Vittal no confirmaron si pueden facturar a la empresa de EE.UU.</t>
        </is>
      </c>
      <c r="C9" s="18" t="inlineStr">
        <is>
          <t>Buscar proveedores que sí facturen, o resolver un circuito de pago local</t>
        </is>
      </c>
      <c r="D9" s="22" t="n"/>
      <c r="E9" s="18" t="inlineStr">
        <is>
          <t>Resolverlo antes de firmar: es el punto que puede trabar los dos contratos.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2026-09-02T16:25:59Z</dcterms:created>
  <dcterms:modified xsi:type="dcterms:W3CDTF">2026-09-02T16:25:59Z</dcterms:modified>
</cp:coreProperties>
</file>