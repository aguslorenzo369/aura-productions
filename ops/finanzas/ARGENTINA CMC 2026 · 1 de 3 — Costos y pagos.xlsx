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OS UNIFICADOS" sheetId="1" state="visible" r:id="rId1"/>
    <sheet name="TABLERO" sheetId="2" state="visible" r:id="rId2"/>
    <sheet name="PAGOS" sheetId="3" state="visible" r:id="rId3"/>
  </sheets>
  <definedNames>
    <definedName name="_xlnm._FilterDatabase" localSheetId="0" hidden="1">'COSTOS UNIFICADOS'!$A$4:$M$4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</row>
    <row r="49" ht="42" customHeight="1">
      <c r="A49" s="42" t="inlineStr">
        <is>
          <t>Vallado (500 vallas)</t>
        </is>
      </c>
      <c r="B49" s="43" t="inlineStr">
        <is>
          <t>Bonificado por técnica</t>
        </is>
      </c>
      <c r="C49" s="44" t="inlineStr">
        <is>
          <t>Las 500 vallas las regala el proveedor de técnica. Estaban presupuestadas en US$1.250.</t>
        </is>
      </c>
      <c r="D49" s="42" t="inlineStr">
        <is>
          <t>Bonificado</t>
        </is>
      </c>
      <c r="E49" s="43" t="inlineStr">
        <is>
          <t>USD</t>
        </is>
      </c>
      <c r="F49" s="45" t="n"/>
      <c r="G49" s="46" t="n"/>
      <c r="H49" s="47">
        <f>IF(F49="","",F49*(1+N(G49)))</f>
        <v/>
      </c>
      <c r="I49" s="48" t="n">
        <v>1</v>
      </c>
      <c r="J49" s="47">
        <f>IF(OR(D49="Bonificado",D49="Reemplazado"),0,N(I49)*IF(H49="",N(K49),IF(E49="USD",H49,H49/TABLERO!$C$4)))</f>
        <v/>
      </c>
      <c r="K49" s="45" t="n">
        <v>1250</v>
      </c>
      <c r="L49" s="47">
        <f>IF(D49="Alternativa","",J49-N(K49))</f>
        <v/>
      </c>
      <c r="M49" s="49" t="inlineStr">
        <is>
          <t>Negociación de Agustina</t>
        </is>
      </c>
    </row>
    <row r="50" ht="42" customHeight="1">
      <c r="A50" s="9" t="inlineStr">
        <is>
          <t>Intercoms</t>
        </is>
      </c>
      <c r="B50" s="10" t="inlineStr">
        <is>
          <t>Proveedor a confirmar</t>
        </is>
      </c>
      <c r="C50" s="11" t="inlineStr">
        <is>
          <t>Ya comprados y pagados al 100%. El master los tenía en 2 cuotas al 24/08 y 23/09, sin abonar.</t>
        </is>
      </c>
      <c r="D50" s="9" t="inlineStr">
        <is>
          <t>Cerrado</t>
        </is>
      </c>
      <c r="E50" s="10" t="inlineStr">
        <is>
          <t>USD</t>
        </is>
      </c>
      <c r="F50" s="12" t="n">
        <v>560</v>
      </c>
      <c r="G50" s="13" t="n"/>
      <c r="H50" s="14">
        <f>IF(F50="","",F50*(1+N(G50)))</f>
        <v/>
      </c>
      <c r="I50" s="15" t="n">
        <v>1</v>
      </c>
      <c r="J50" s="14">
        <f>IF(OR(D50="Bonificado",D50="Reemplazado"),0,N(I50)*IF(H50="",N(K50),IF(E50="USD",H50,H50/TABLERO!$C$4)))</f>
        <v/>
      </c>
      <c r="K50" s="12" t="n"/>
      <c r="L50" s="14">
        <f>IF(D50="Alternativa","",J50-N(K50))</f>
        <v/>
      </c>
      <c r="M50" s="16" t="inlineStr">
        <is>
          <t>Confirmado por Agustina el 03/09</t>
        </is>
      </c>
    </row>
    <row r="51">
      <c r="A51" s="17" t="inlineStr">
        <is>
          <t>Subtotal Producción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J51" s="19">
        <f>SUMIF($D$49:$D$50,"&lt;&gt;Alternativa",$J$49:$J$50)</f>
        <v/>
      </c>
      <c r="K51" s="19">
        <f>SUM($K$49:$K$50)</f>
        <v/>
      </c>
      <c r="L51" s="19">
        <f>J51-K51</f>
        <v/>
      </c>
      <c r="M51" s="18" t="n"/>
    </row>
    <row r="53">
      <c r="A53" s="52" t="inlineStr">
        <is>
          <t>COSTO TOTAL DEL EVENTO</t>
        </is>
      </c>
      <c r="J53" s="53">
        <f>J7+J10+J15+J21+J30+J43+J47+J51</f>
        <v/>
      </c>
      <c r="K53" s="53">
        <f>K7+K10+K15+K21+K30+K43+K47+K51</f>
        <v/>
      </c>
      <c r="L53" s="53">
        <f>L7+L10+L15+L21+L30+L43+L47+L51</f>
        <v/>
      </c>
    </row>
  </sheetData>
  <autoFilter ref="A4:M4"/>
  <mergeCells count="8">
    <mergeCell ref="A44:M44"/>
    <mergeCell ref="A5:M5"/>
    <mergeCell ref="A31:M31"/>
    <mergeCell ref="A8:M8"/>
    <mergeCell ref="A22:M22"/>
    <mergeCell ref="A48:M48"/>
    <mergeCell ref="A16:M16"/>
    <mergeCell ref="A11:M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UNIFICADOS'!J53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UNIFICADOS'!K53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UNIFICADOS'!L53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</row>
    <row r="6">
      <c r="A6" s="99" t="inlineStr">
        <is>
          <t>Sede</t>
        </is>
      </c>
      <c r="B6" s="81" t="inlineStr">
        <is>
          <t>La Rural — anticipo del contrato</t>
        </is>
      </c>
      <c r="C6" s="100" t="inlineStr">
        <is>
          <t>27/04/2026</t>
        </is>
      </c>
      <c r="D6" s="91" t="n">
        <v>43446</v>
      </c>
      <c r="E6" s="81" t="inlineStr">
        <is>
          <t>Pagado</t>
        </is>
      </c>
      <c r="F6" s="99" t="inlineStr">
        <is>
          <t>Hoja PAGOS del master</t>
        </is>
      </c>
    </row>
    <row r="7">
      <c r="A7" s="99" t="inlineStr">
        <is>
          <t>Producción</t>
        </is>
      </c>
      <c r="B7" s="81" t="inlineStr">
        <is>
          <t>Intercoms — 100%</t>
        </is>
      </c>
      <c r="C7" s="100" t="inlineStr">
        <is>
          <t>ya comprados</t>
        </is>
      </c>
      <c r="D7" s="91" t="n">
        <v>560</v>
      </c>
      <c r="E7" s="81" t="inlineStr">
        <is>
          <t>Pagado</t>
        </is>
      </c>
      <c r="F7" s="99" t="inlineStr">
        <is>
          <t>Confirmado por Agustina el 03/09</t>
        </is>
      </c>
    </row>
    <row r="8">
      <c r="A8" s="99" t="inlineStr">
        <is>
          <t>Técnica</t>
        </is>
      </c>
      <c r="B8" s="81" t="inlineStr">
        <is>
          <t>Grupo MET — factura INV-11</t>
        </is>
      </c>
      <c r="C8" s="100" t="inlineStr">
        <is>
          <t>31/07/2026</t>
        </is>
      </c>
      <c r="D8" s="91" t="n">
        <v>5000</v>
      </c>
      <c r="E8" s="81" t="inlineStr">
        <is>
          <t>Pagado</t>
        </is>
      </c>
      <c r="F8" s="99" t="inlineStr">
        <is>
          <t>Recibo de Mercury del 31/07</t>
        </is>
      </c>
    </row>
    <row r="9">
      <c r="A9" s="99" t="inlineStr">
        <is>
          <t>Merch</t>
        </is>
      </c>
      <c r="B9" s="81" t="inlineStr">
        <is>
          <t>Pañuelos — 50% (parte Argentina)</t>
        </is>
      </c>
      <c r="C9" s="100" t="inlineStr">
        <is>
          <t>24/06/2026</t>
        </is>
      </c>
      <c r="D9" s="91" t="n">
        <v>3569.15</v>
      </c>
      <c r="E9" s="81" t="inlineStr">
        <is>
          <t>Pagado</t>
        </is>
      </c>
      <c r="F9" s="99" t="inlineStr">
        <is>
          <t>Master: 50% de US$10.982, imputado al 65%</t>
        </is>
      </c>
    </row>
    <row r="10">
      <c r="A10" s="99" t="inlineStr">
        <is>
          <t>Merch</t>
        </is>
      </c>
      <c r="B10" s="81" t="inlineStr">
        <is>
          <t>Gorras — 100%</t>
        </is>
      </c>
      <c r="C10" s="100" t="inlineStr">
        <is>
          <t>25/06/2026</t>
        </is>
      </c>
      <c r="D10" s="91" t="n">
        <v>1825</v>
      </c>
      <c r="E10" s="81" t="inlineStr">
        <is>
          <t>Pagado</t>
        </is>
      </c>
      <c r="F10" s="99" t="inlineStr">
        <is>
          <t>Factura 2601009 de Textil Ryu</t>
        </is>
      </c>
    </row>
    <row r="11">
      <c r="A11" s="99" t="inlineStr">
        <is>
          <t>Merch</t>
        </is>
      </c>
      <c r="B11" s="81" t="inlineStr">
        <is>
          <t>Lanyards — 50%</t>
        </is>
      </c>
      <c r="C11" s="100" t="inlineStr">
        <is>
          <t>25/06/2026</t>
        </is>
      </c>
      <c r="D11" s="91" t="n">
        <v>849</v>
      </c>
      <c r="E11" s="81" t="inlineStr">
        <is>
          <t>Pagado</t>
        </is>
      </c>
      <c r="F11" s="99" t="inlineStr">
        <is>
          <t>Hoja PAGOS del master</t>
        </is>
      </c>
    </row>
    <row r="12">
      <c r="A12" s="99" t="inlineStr">
        <is>
          <t>Merch</t>
        </is>
      </c>
      <c r="B12" s="81" t="inlineStr">
        <is>
          <t>Gráfica Argentina — anticipo</t>
        </is>
      </c>
      <c r="C12" s="100" t="inlineStr">
        <is>
          <t>25/06/2026</t>
        </is>
      </c>
      <c r="D12" s="91" t="n">
        <v>642</v>
      </c>
      <c r="E12" s="81" t="inlineStr">
        <is>
          <t>Pagado</t>
        </is>
      </c>
      <c r="F12" s="99" t="inlineStr">
        <is>
          <t>Master: total US$2.481, saldo US$1.839</t>
        </is>
      </c>
    </row>
    <row r="13">
      <c r="A13" s="18" t="n"/>
      <c r="B13" s="17" t="inlineStr">
        <is>
          <t>Pagado a hoy</t>
        </is>
      </c>
      <c r="C13" s="18" t="n"/>
      <c r="D13" s="19">
        <f>SUM(D6:D12)</f>
        <v/>
      </c>
      <c r="E13" s="18" t="n"/>
      <c r="F13" s="18" t="n"/>
    </row>
    <row r="15" ht="20" customHeight="1">
      <c r="A15" s="7" t="inlineStr">
        <is>
          <t>FALTA PAGAR · CON FECHA</t>
        </is>
      </c>
    </row>
    <row r="16">
      <c r="A16" s="101" t="inlineStr">
        <is>
          <t>Sede</t>
        </is>
      </c>
      <c r="B16" s="85" t="inlineStr">
        <is>
          <t>La Rural — saldo, cuota 1 de 2</t>
        </is>
      </c>
      <c r="C16" s="102" t="inlineStr">
        <is>
          <t>24/08/2026</t>
        </is>
      </c>
      <c r="D16" s="103" t="n">
        <v>15777</v>
      </c>
      <c r="E16" s="104" t="inlineStr">
        <is>
          <t>VENCIDA</t>
        </is>
      </c>
      <c r="F16" s="101" t="inlineStr">
        <is>
          <t>Cronograma del master</t>
        </is>
      </c>
    </row>
    <row r="17">
      <c r="A17" s="101" t="inlineStr">
        <is>
          <t>Merch</t>
        </is>
      </c>
      <c r="B17" s="85" t="inlineStr">
        <is>
          <t>Remeras (250)</t>
        </is>
      </c>
      <c r="C17" s="102" t="inlineStr">
        <is>
          <t>ya facturado</t>
        </is>
      </c>
      <c r="D17" s="103" t="n">
        <v>2780.64</v>
      </c>
      <c r="E17" s="104" t="inlineStr">
        <is>
          <t>SIN PAGAR</t>
        </is>
      </c>
      <c r="F17" s="101" t="inlineStr">
        <is>
          <t>Factura 2601017 del 16/08 · NO figura en el master</t>
        </is>
      </c>
    </row>
    <row r="18">
      <c r="A18" s="101" t="inlineStr">
        <is>
          <t>Merch</t>
        </is>
      </c>
      <c r="B18" s="85" t="inlineStr">
        <is>
          <t>Bordado de gorras (940)</t>
        </is>
      </c>
      <c r="C18" s="102" t="inlineStr">
        <is>
          <t>ya facturado</t>
        </is>
      </c>
      <c r="D18" s="103" t="n">
        <v>1721.95</v>
      </c>
      <c r="E18" s="104" t="inlineStr">
        <is>
          <t>SIN PAGAR</t>
        </is>
      </c>
      <c r="F18" s="101" t="inlineStr">
        <is>
          <t>Factura 2601016 del 10/08 · NO figura en el master</t>
        </is>
      </c>
    </row>
    <row r="19">
      <c r="A19" s="105" t="inlineStr">
        <is>
          <t>Merch</t>
        </is>
      </c>
      <c r="B19" s="59" t="inlineStr">
        <is>
          <t>Pañuelos — saldo (parte Argentina)</t>
        </is>
      </c>
      <c r="C19" s="106" t="inlineStr">
        <is>
          <t>13/09/2026</t>
        </is>
      </c>
      <c r="D19" s="107" t="n">
        <v>3429.73</v>
      </c>
      <c r="E19" s="89" t="inlineStr">
        <is>
          <t>Programado</t>
        </is>
      </c>
      <c r="F19" s="105" t="inlineStr">
        <is>
          <t>Factura 2601019 · 65% de 5.276,51 USDT</t>
        </is>
      </c>
    </row>
    <row r="20">
      <c r="A20" s="105" t="inlineStr">
        <is>
          <t>Merch</t>
        </is>
      </c>
      <c r="B20" s="59" t="inlineStr">
        <is>
          <t>Gráfica Argentina — saldo</t>
        </is>
      </c>
      <c r="C20" s="106" t="inlineStr">
        <is>
          <t>13/09/2026</t>
        </is>
      </c>
      <c r="D20" s="107" t="n">
        <v>1192.37</v>
      </c>
      <c r="E20" s="89" t="inlineStr">
        <is>
          <t>Programado</t>
        </is>
      </c>
      <c r="F20" s="105" t="inlineStr">
        <is>
          <t>Master. La factura 2601014 viene por el total: a confirmar</t>
        </is>
      </c>
    </row>
    <row r="21">
      <c r="A21" s="105" t="inlineStr">
        <is>
          <t>Merch</t>
        </is>
      </c>
      <c r="B21" s="59" t="inlineStr">
        <is>
          <t>Lanyards — saldo</t>
        </is>
      </c>
      <c r="C21" s="106" t="inlineStr">
        <is>
          <t>13/09/2026</t>
        </is>
      </c>
      <c r="D21" s="107" t="n">
        <v>816.1</v>
      </c>
      <c r="E21" s="89" t="inlineStr">
        <is>
          <t>Programado</t>
        </is>
      </c>
      <c r="F21" s="105" t="inlineStr">
        <is>
          <t>Master. La factura 2601018 viene por el total: a confirmar</t>
        </is>
      </c>
    </row>
    <row r="22">
      <c r="A22" s="105" t="inlineStr">
        <is>
          <t>Sede</t>
        </is>
      </c>
      <c r="B22" s="59" t="inlineStr">
        <is>
          <t>La Rural — saldo, cuota 2 de 2</t>
        </is>
      </c>
      <c r="C22" s="106" t="inlineStr">
        <is>
          <t>23/09/2026</t>
        </is>
      </c>
      <c r="D22" s="107" t="n">
        <v>15777</v>
      </c>
      <c r="E22" s="89" t="inlineStr">
        <is>
          <t>Programado</t>
        </is>
      </c>
      <c r="F22" s="105" t="inlineStr">
        <is>
          <t>Cronograma del master</t>
        </is>
      </c>
    </row>
    <row r="23">
      <c r="A23" s="18" t="n"/>
      <c r="B23" s="17" t="inlineStr">
        <is>
          <t>Comprometido con fecha</t>
        </is>
      </c>
      <c r="C23" s="18" t="n"/>
      <c r="D23" s="19">
        <f>SUM(D16:D22)</f>
        <v/>
      </c>
      <c r="E23" s="18" t="n"/>
      <c r="F23" s="18" t="n"/>
    </row>
    <row r="24">
      <c r="B24" s="2" t="inlineStr">
        <is>
          <t>De eso, vencido o facturado sin pagar</t>
        </is>
      </c>
      <c r="D24" s="103">
        <f>SUMIF(E16:E22,"VENCIDA",D16:D22)+SUMIF(E16:E22,"SIN PAGAR",D16:D22)</f>
        <v/>
      </c>
    </row>
    <row r="26" ht="20" customHeight="1">
      <c r="A26" s="7" t="inlineStr">
        <is>
          <t>RESUMEN</t>
        </is>
      </c>
    </row>
    <row r="27">
      <c r="B27" s="3" t="inlineStr">
        <is>
          <t>Costo total del evento</t>
        </is>
      </c>
      <c r="D27" s="108">
        <f>'COSTOS UNIFICADOS'!J53</f>
        <v/>
      </c>
    </row>
    <row r="28">
      <c r="B28" s="3" t="inlineStr">
        <is>
          <t>Ya pagado</t>
        </is>
      </c>
      <c r="D28" s="109">
        <f>D13</f>
        <v/>
      </c>
    </row>
    <row r="29">
      <c r="B29" s="3" t="inlineStr">
        <is>
          <t>Falta desembolsar</t>
        </is>
      </c>
      <c r="D29" s="110">
        <f>'COSTOS UNIFICADOS'!J53-D13</f>
        <v/>
      </c>
    </row>
    <row r="30">
      <c r="B30" s="5" t="inlineStr">
        <is>
          <t xml:space="preserve">   de eso, con fecha acordada</t>
        </is>
      </c>
      <c r="D30" s="111">
        <f>D23</f>
        <v/>
      </c>
    </row>
    <row r="31">
      <c r="B31" s="5" t="inlineStr">
        <is>
          <t xml:space="preserve">   de eso, todavía sin fecha</t>
        </is>
      </c>
      <c r="D31" s="111">
        <f>'COSTOS UNIFICADOS'!J53-D13-D23</f>
        <v/>
      </c>
    </row>
    <row r="33">
      <c r="B33" s="2" t="inlineStr">
        <is>
          <t>Las remeras y el bordado de gorras están facturados desde agosto y no figuran en el cronograma del master: son US$4.503 que hoy no están en ningún calendario.</t>
        </is>
      </c>
    </row>
    <row r="34">
      <c r="B34" s="2" t="inlineStr">
        <is>
          <t>El resto sin fecha son los rubros cerrados y cotizados que todavía no tienen forma de pago acordada: técnica, entelado, CCTV, catering, sillas y los servicios del predio.</t>
        </is>
      </c>
    </row>
    <row r="35">
      <c r="B35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26:F26"/>
    <mergeCell ref="A5:F5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2026-09-04T00:57:13Z</dcterms:created>
  <dcterms:modified xsi:type="dcterms:W3CDTF">2026-09-04T00:57:14Z</dcterms:modified>
</cp:coreProperties>
</file>