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 UNIFICADOS" sheetId="1" state="visible" r:id="rId1"/>
    <sheet name="TABLERO" sheetId="2" state="visible" r:id="rId2"/>
    <sheet name="PAGOS" sheetId="3" state="visible" r:id="rId3"/>
  </sheets>
  <definedNames>
    <definedName name="_xlnm._FilterDatabase" localSheetId="0" hidden="1">'COSTOS UNIFICADOS'!$A$4:$M$4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US$&quot;#,##0.00;(&quot;US$&quot;#,##0.00);-"/>
    <numFmt numFmtId="165" formatCode="0.0%"/>
    <numFmt numFmtId="166" formatCode="&quot;$&quot;#,##0;(&quot;$&quot;#,##0);-"/>
    <numFmt numFmtId="167" formatCode="&quot;US$&quot;#,##0;(&quot;US$&quot;#,##0);-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sz val="12"/>
    </font>
    <font>
      <name val="Arial"/>
      <b val="1"/>
      <color rgb="001F3864"/>
      <sz val="12"/>
    </font>
    <font>
      <name val="Arial"/>
      <color rgb="00008000"/>
      <sz val="10"/>
    </font>
    <font>
      <name val="Arial"/>
      <b val="1"/>
      <sz val="11"/>
    </font>
    <font>
      <name val="Arial"/>
      <b val="1"/>
      <color rgb="001F3864"/>
      <sz val="11"/>
    </font>
    <font>
      <name val="Arial"/>
      <b val="1"/>
      <color rgb="001F3864"/>
      <sz val="9"/>
    </font>
    <font>
      <name val="Arial"/>
      <b val="1"/>
      <color rgb="00C00000"/>
      <sz val="11"/>
    </font>
    <font>
      <name val="Arial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vertical="center" indent="1"/>
    </xf>
    <xf numFmtId="0" fontId="0" fillId="2" borderId="0" pivotButton="0" quotePrefix="0" xfId="0"/>
    <xf numFmtId="0" fontId="3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 wrapText="1"/>
    </xf>
    <xf numFmtId="165" fontId="7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pivotButton="0" quotePrefix="0" xfId="0"/>
    <xf numFmtId="0" fontId="0" fillId="4" borderId="1" pivotButton="0" quotePrefix="0" xfId="0"/>
    <xf numFmtId="164" fontId="3" fillId="4" borderId="1" pivotButton="0" quotePrefix="0" xfId="0"/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6" fontId="7" fillId="5" borderId="1" applyAlignment="1" pivotButton="0" quotePrefix="0" xfId="0">
      <alignment vertical="top" wrapText="1"/>
    </xf>
    <xf numFmtId="165" fontId="7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6" fontId="7" fillId="3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165" fontId="7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6" fontId="7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 wrapText="1"/>
    </xf>
    <xf numFmtId="0" fontId="8" fillId="0" borderId="0" pivotButton="0" quotePrefix="0" xfId="0"/>
    <xf numFmtId="167" fontId="8" fillId="3" borderId="1" pivotButton="0" quotePrefix="0" xfId="0"/>
    <xf numFmtId="4" fontId="7" fillId="6" borderId="0" pivotButton="0" quotePrefix="0" xfId="0"/>
    <xf numFmtId="0" fontId="9" fillId="0" borderId="0" pivotButton="0" quotePrefix="0" xfId="0"/>
    <xf numFmtId="167" fontId="10" fillId="0" borderId="1" pivotButton="0" quotePrefix="0" xfId="0"/>
    <xf numFmtId="167" fontId="10" fillId="7" borderId="1" pivotButton="0" quotePrefix="0" xfId="0"/>
    <xf numFmtId="0" fontId="5" fillId="2" borderId="1" pivotButton="0" quotePrefix="0" xfId="0"/>
    <xf numFmtId="0" fontId="4" fillId="0" borderId="1" pivotButton="0" quotePrefix="0" xfId="0"/>
    <xf numFmtId="3" fontId="7" fillId="6" borderId="1" pivotButton="0" quotePrefix="0" xfId="0"/>
    <xf numFmtId="164" fontId="4" fillId="0" borderId="1" pivotButton="0" quotePrefix="0" xfId="0"/>
    <xf numFmtId="167" fontId="10" fillId="3" borderId="1" pivotButton="0" quotePrefix="0" xfId="0"/>
    <xf numFmtId="167" fontId="10" fillId="5" borderId="1" pivotButton="0" quotePrefix="0" xfId="0"/>
    <xf numFmtId="167" fontId="2" fillId="0" borderId="0" pivotButton="0" quotePrefix="0" xfId="0"/>
    <xf numFmtId="164" fontId="3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166" fontId="7" fillId="7" borderId="1" applyAlignment="1" pivotButton="0" quotePrefix="0" xfId="0">
      <alignment vertical="top" wrapText="1"/>
    </xf>
    <xf numFmtId="165" fontId="7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164" fontId="7" fillId="7" borderId="1" applyAlignment="1" pivotButton="0" quotePrefix="0" xfId="0">
      <alignment vertical="top" wrapText="1"/>
    </xf>
    <xf numFmtId="164" fontId="3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11" fillId="0" borderId="0" pivotButton="0" quotePrefix="0" xfId="0"/>
    <xf numFmtId="164" fontId="11" fillId="3" borderId="1" pivotButton="0" quotePrefix="0" xfId="0"/>
    <xf numFmtId="0" fontId="12" fillId="0" borderId="0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4" borderId="1" pivotButton="0" quotePrefix="0" xfId="0"/>
    <xf numFmtId="0" fontId="13" fillId="8" borderId="0" pivotButton="0" quotePrefix="0" xfId="0"/>
    <xf numFmtId="0" fontId="0" fillId="8" borderId="0" pivotButton="0" quotePrefix="0" xfId="0"/>
    <xf numFmtId="0" fontId="3" fillId="0" borderId="1" pivotButton="0" quotePrefix="0" xfId="0"/>
    <xf numFmtId="164" fontId="7" fillId="0" borderId="1" pivotButton="0" quotePrefix="0" xfId="0"/>
    <xf numFmtId="164" fontId="3" fillId="3" borderId="1" pivotButton="0" quotePrefix="0" xfId="0"/>
    <xf numFmtId="165" fontId="4" fillId="0" borderId="1" pivotButton="0" quotePrefix="0" xfId="0"/>
    <xf numFmtId="0" fontId="2" fillId="4" borderId="1" pivotButton="0" quotePrefix="0" xfId="0"/>
    <xf numFmtId="164" fontId="7" fillId="4" borderId="1" pivotButton="0" quotePrefix="0" xfId="0"/>
    <xf numFmtId="0" fontId="0" fillId="0" borderId="1" pivotButton="0" quotePrefix="0" xfId="0"/>
    <xf numFmtId="165" fontId="3" fillId="4" borderId="1" pivotButton="0" quotePrefix="0" xfId="0"/>
    <xf numFmtId="165" fontId="11" fillId="3" borderId="1" pivotButton="0" quotePrefix="0" xfId="0"/>
    <xf numFmtId="0" fontId="14" fillId="0" borderId="0" pivotButton="0" quotePrefix="0" xfId="0"/>
    <xf numFmtId="0" fontId="2" fillId="3" borderId="1" pivotButton="0" quotePrefix="0" xfId="0"/>
    <xf numFmtId="0" fontId="7" fillId="3" borderId="1" pivotButton="0" quotePrefix="0" xfId="0"/>
    <xf numFmtId="0" fontId="2" fillId="7" borderId="1" pivotButton="0" quotePrefix="0" xfId="0"/>
    <xf numFmtId="0" fontId="7" fillId="7" borderId="1" pivotButton="0" quotePrefix="0" xfId="0"/>
    <xf numFmtId="164" fontId="3" fillId="7" borderId="1" pivotButton="0" quotePrefix="0" xfId="0"/>
    <xf numFmtId="0" fontId="3" fillId="7" borderId="1" pivotButton="0" quotePrefix="0" xfId="0"/>
    <xf numFmtId="0" fontId="2" fillId="0" borderId="1" pivotButton="0" quotePrefix="0" xfId="0"/>
    <xf numFmtId="0" fontId="7" fillId="0" borderId="1" pivotButton="0" quotePrefix="0" xfId="0"/>
    <xf numFmtId="164" fontId="3" fillId="0" borderId="1" pivotButton="0" quotePrefix="0" xfId="0"/>
    <xf numFmtId="167" fontId="3" fillId="4" borderId="1" pivotButton="0" quotePrefix="0" xfId="0"/>
    <xf numFmtId="167" fontId="3" fillId="3" borderId="1" pivotButton="0" quotePrefix="0" xfId="0"/>
    <xf numFmtId="167" fontId="3" fillId="5" borderId="1" pivotButton="0" quotePrefix="0" xfId="0"/>
    <xf numFmtId="167" fontId="3" fillId="0" borderId="1" pivotButton="0" quotePrefix="0" xfId="0"/>
    <xf numFmtId="165" fontId="4" fillId="0" borderId="1" applyAlignment="1" pivotButton="0" quotePrefix="0" xfId="0">
      <alignment vertical="top" wrapText="1"/>
    </xf>
    <xf numFmtId="164" fontId="8" fillId="3" borderId="1" pivotButton="0" quotePrefix="0" xfId="0"/>
    <xf numFmtId="167" fontId="4" fillId="5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167" fontId="4" fillId="4" borderId="1" applyAlignment="1" pivotButton="0" quotePrefix="0" xfId="0">
      <alignment vertical="top" wrapText="1"/>
    </xf>
    <xf numFmtId="167" fontId="4" fillId="3" borderId="1" applyAlignment="1" pivotButton="0" quotePrefix="0" xfId="0">
      <alignment vertical="top" wrapText="1"/>
    </xf>
    <xf numFmtId="0" fontId="15" fillId="0" borderId="0" pivotButton="0" quotePrefix="0" xfId="0"/>
    <xf numFmtId="166" fontId="7" fillId="0" borderId="1" pivotButton="0" quotePrefix="0" xfId="0"/>
    <xf numFmtId="0" fontId="7" fillId="6" borderId="1" pivotButton="0" quotePrefix="0" xfId="0"/>
    <xf numFmtId="166" fontId="4" fillId="0" borderId="1" pivotButton="0" quotePrefix="0" xfId="0"/>
    <xf numFmtId="166" fontId="3" fillId="4" borderId="1" pivotButton="0" quotePrefix="0" xfId="0"/>
    <xf numFmtId="166" fontId="3" fillId="3" borderId="1" pivotButton="0" quotePrefix="0" xfId="0"/>
    <xf numFmtId="166" fontId="3" fillId="5" borderId="1" pivotButton="0" quotePrefix="0" xfId="0"/>
    <xf numFmtId="164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62" customWidth="1" min="3" max="3"/>
    <col width="13" customWidth="1" min="4" max="4"/>
    <col width="8" customWidth="1" min="5" max="5"/>
    <col width="15" customWidth="1" min="6" max="6"/>
    <col width="8" customWidth="1" min="7" max="7"/>
    <col width="17" customWidth="1" min="8" max="8"/>
    <col width="11" customWidth="1" min="9" max="9"/>
    <col width="14" customWidth="1" min="10" max="10"/>
    <col width="15" customWidth="1" min="11" max="11"/>
    <col width="14" customWidth="1" min="12" max="12"/>
    <col width="62" customWidth="1" min="13" max="13"/>
  </cols>
  <sheetData>
    <row r="1">
      <c r="A1" s="1" t="inlineStr">
        <is>
          <t>Todos los costos de Argentina, bloque por bloque</t>
        </is>
      </c>
    </row>
    <row r="2">
      <c r="A2" s="2" t="inlineStr">
        <is>
          <t>Una fila por concepto. "Monto a usar" toma la cotización real cuando existe y el estimado del sheet cuando no.</t>
        </is>
      </c>
    </row>
    <row r="4">
      <c r="A4" s="6" t="inlineStr">
        <is>
          <t>Rubro</t>
        </is>
      </c>
      <c r="B4" s="6" t="inlineStr">
        <is>
          <t>Proveedor</t>
        </is>
      </c>
      <c r="C4" s="6" t="inlineStr">
        <is>
          <t>Detalle</t>
        </is>
      </c>
      <c r="D4" s="6" t="inlineStr">
        <is>
          <t>Estado</t>
        </is>
      </c>
      <c r="E4" s="6" t="inlineStr">
        <is>
          <t>Moneda</t>
        </is>
      </c>
      <c r="F4" s="6" t="inlineStr">
        <is>
          <t>Monto sin IVA</t>
        </is>
      </c>
      <c r="G4" s="6" t="inlineStr">
        <is>
          <t>IVA</t>
        </is>
      </c>
      <c r="H4" s="6" t="inlineStr">
        <is>
          <t>Total moneda origen</t>
        </is>
      </c>
      <c r="I4" s="6" t="inlineStr">
        <is>
          <t>% Argentina</t>
        </is>
      </c>
      <c r="J4" s="6" t="inlineStr">
        <is>
          <t>Total USD</t>
        </is>
      </c>
      <c r="K4" s="6" t="inlineStr">
        <is>
          <t>Estimado del sheet
(USD)</t>
        </is>
      </c>
      <c r="L4" s="6" t="inlineStr">
        <is>
          <t>Diferencia</t>
        </is>
      </c>
      <c r="M4" s="6" t="inlineStr">
        <is>
          <t>Fuente</t>
        </is>
      </c>
    </row>
    <row r="5" ht="20" customHeight="1">
      <c r="A5" s="7" t="inlineStr">
        <is>
          <t>SEDE</t>
        </is>
      </c>
    </row>
    <row r="6" ht="42" customHeight="1">
      <c r="A6" s="9" t="inlineStr">
        <is>
          <t>Alquiler Pabellón Azul</t>
        </is>
      </c>
      <c r="B6" s="10" t="inlineStr">
        <is>
          <t>La Rural (contrato CC-00957)</t>
        </is>
      </c>
      <c r="C6" s="11" t="inlineStr">
        <is>
          <t>Locación 2 días de evento + 1 día de montaje</t>
        </is>
      </c>
      <c r="D6" s="9" t="inlineStr">
        <is>
          <t>Contratado</t>
        </is>
      </c>
      <c r="E6" s="10" t="inlineStr">
        <is>
          <t>USD</t>
        </is>
      </c>
      <c r="F6" s="12" t="n">
        <v>75000</v>
      </c>
      <c r="G6" s="13" t="n"/>
      <c r="H6" s="14">
        <f>IF(F6="","",F6*(1+N(G6)))</f>
        <v/>
      </c>
      <c r="I6" s="15" t="n">
        <v>1</v>
      </c>
      <c r="J6" s="14">
        <f>IF(OR(D6="Bonificado",D6="Reemplazado"),0,N(I6)*IF(H6="",N(K6),IF(E6="USD",H6,H6/TABLERO!$C$4)))</f>
        <v/>
      </c>
      <c r="K6" s="12" t="n">
        <v>70000</v>
      </c>
      <c r="L6" s="14">
        <f>IF(D6="Alternativa","",J6-N(K6))</f>
        <v/>
      </c>
      <c r="M6" s="16" t="inlineStr">
        <is>
          <t>Contrato CC-00957 · hoja PAGOS del master (US$43.446 abonados el 27/04)</t>
        </is>
      </c>
    </row>
    <row r="7">
      <c r="A7" s="17" t="inlineStr">
        <is>
          <t>Subtotal Sede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9">
        <f>SUMIF($D$6:$D$6,"&lt;&gt;Alternativa",$J$6:$J$6)</f>
        <v/>
      </c>
      <c r="K7" s="19">
        <f>SUM($K$6:$K$6)</f>
        <v/>
      </c>
      <c r="L7" s="19">
        <f>J7-K7</f>
        <v/>
      </c>
      <c r="M7" s="18" t="n"/>
    </row>
    <row r="8" ht="20" customHeight="1">
      <c r="A8" s="7" t="inlineStr">
        <is>
          <t>INFRAESTRUCTURA</t>
        </is>
      </c>
    </row>
    <row r="9" ht="42" customHeight="1">
      <c r="A9" s="9" t="inlineStr">
        <is>
          <t>Armado de stands</t>
        </is>
      </c>
      <c r="B9" s="10" t="inlineStr">
        <is>
          <t>La Rural — Jefatura de Infraestructura</t>
        </is>
      </c>
      <c r="C9" s="11" t="inlineStr">
        <is>
          <t>Armado del stand de staff (100 m²), el de producción (menos de 50 m²) y el mobiliario del camarín de speakers. Falta pedirles los espejos. Las sillas del público van en su propia línea.</t>
        </is>
      </c>
      <c r="D9" s="9" t="inlineStr">
        <is>
          <t>Cerrado</t>
        </is>
      </c>
      <c r="E9" s="10" t="inlineStr">
        <is>
          <t>USD</t>
        </is>
      </c>
      <c r="F9" s="12" t="n">
        <v>9270</v>
      </c>
      <c r="G9" s="13" t="n"/>
      <c r="H9" s="14">
        <f>IF(F9="","",F9*(1+N(G9)))</f>
        <v/>
      </c>
      <c r="I9" s="15" t="n">
        <v>1</v>
      </c>
      <c r="J9" s="14">
        <f>IF(OR(D9="Bonificado",D9="Reemplazado"),0,N(I9)*IF(H9="",N(K9),IF(E9="USD",H9,H9/TABLERO!$C$4)))</f>
        <v/>
      </c>
      <c r="K9" s="12" t="n"/>
      <c r="L9" s="14">
        <f>IF(D9="Alternativa","",J9-N(K9))</f>
        <v/>
      </c>
      <c r="M9" s="16" t="inlineStr">
        <is>
          <t>Definición de Agustina sobre el presupuesto de $66.494.708 del 17/08 · ver hoja AHORROS</t>
        </is>
      </c>
    </row>
    <row r="10">
      <c r="A10" s="17" t="inlineStr">
        <is>
          <t>Subtotal Infraestructura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9">
        <f>SUMIF($D$9:$D$9,"&lt;&gt;Alternativa",$J$9:$J$9)</f>
        <v/>
      </c>
      <c r="K10" s="19">
        <f>SUM($K$9:$K$9)</f>
        <v/>
      </c>
      <c r="L10" s="19">
        <f>J10-K10</f>
        <v/>
      </c>
      <c r="M10" s="18" t="n"/>
    </row>
    <row r="11" ht="20" customHeight="1">
      <c r="A11" s="7" t="inlineStr">
        <is>
          <t>MOBILIARIO</t>
        </is>
      </c>
    </row>
    <row r="12" ht="42" customHeight="1">
      <c r="A12" s="20" t="inlineStr">
        <is>
          <t>Sillas del público (5.500)</t>
        </is>
      </c>
      <c r="B12" s="21" t="inlineStr">
        <is>
          <t>FDL Eventos</t>
        </is>
      </c>
      <c r="C12" s="22" t="inlineStr">
        <is>
          <t>Presupuesto 026-2697, alquiler por 4 días: 1.000 sillas hotel caño gris tapizado negro ($7.000.000) + 4.500 sillas plásticas Munro reforzadas ($17.100.000) + flete ($1.700.000). NO incluye armado.</t>
        </is>
      </c>
      <c r="D12" s="20" t="inlineStr">
        <is>
          <t>Cotizado</t>
        </is>
      </c>
      <c r="E12" s="21" t="inlineStr">
        <is>
          <t>ARS</t>
        </is>
      </c>
      <c r="F12" s="23" t="n">
        <v>25800000</v>
      </c>
      <c r="G12" s="24" t="n">
        <v>0.21</v>
      </c>
      <c r="H12" s="25">
        <f>IF(F12="","",F12*(1+N(G12)))</f>
        <v/>
      </c>
      <c r="I12" s="26" t="n">
        <v>1</v>
      </c>
      <c r="J12" s="27">
        <f>IF(OR(D12="Bonificado",D12="Reemplazado"),0,N(I12)*IF(H12="",N(K12),IF(E12="USD",H12,H12/TABLERO!$C$4)))</f>
        <v/>
      </c>
      <c r="K12" s="28" t="n">
        <v>16500</v>
      </c>
      <c r="L12" s="27">
        <f>IF(D12="Alternativa","",J12-N(K12))</f>
        <v/>
      </c>
      <c r="M12" s="29" t="inlineStr">
        <is>
          <t>Presupuesto FDL Eventos N.º 026-2697 del 07/08/2026 · pendiente de resolver facturación al exterior</t>
        </is>
      </c>
    </row>
    <row r="13" ht="42" customHeight="1">
      <c r="A13" s="30" t="inlineStr">
        <is>
          <t>Montaje, acomodación y desmontaje de sillas</t>
        </is>
      </c>
      <c r="B13" s="31" t="inlineStr">
        <is>
          <t>En negociación</t>
        </is>
      </c>
      <c r="C13" s="32" t="inlineStr">
        <is>
          <t>Montaje previo, acomodación el sábado a la noche después de la dinámica y desmontaje el domingo.</t>
        </is>
      </c>
      <c r="D13" s="30" t="inlineStr">
        <is>
          <t>En negociación</t>
        </is>
      </c>
      <c r="E13" s="31" t="inlineStr">
        <is>
          <t>ARS</t>
        </is>
      </c>
      <c r="F13" s="33" t="n">
        <v>900000</v>
      </c>
      <c r="G13" s="34" t="n"/>
      <c r="H13" s="35">
        <f>IF(F13="","",F13*(1+N(G13)))</f>
        <v/>
      </c>
      <c r="I13" s="36" t="n">
        <v>1</v>
      </c>
      <c r="J13" s="37">
        <f>IF(OR(D13="Bonificado",D13="Reemplazado"),0,N(I13)*IF(H13="",N(K13),IF(E13="USD",H13,H13/TABLERO!$C$4)))</f>
        <v/>
      </c>
      <c r="K13" s="38" t="n"/>
      <c r="L13" s="37">
        <f>IF(D13="Alternativa","",J13-N(K13))</f>
        <v/>
      </c>
      <c r="M13" s="39" t="inlineStr">
        <is>
          <t>Negociación de Agustina · cerrar el número antes de firmar las sillas</t>
        </is>
      </c>
    </row>
    <row r="14" ht="42" customHeight="1">
      <c r="A14" s="30" t="inlineStr">
        <is>
          <t>Replanteo de sillas (ingeniero)</t>
        </is>
      </c>
      <c r="B14" s="31" t="inlineStr">
        <is>
          <t>Sin cotizar</t>
        </is>
      </c>
      <c r="C14" s="32" t="inlineStr">
        <is>
          <t>Replanteo del layout de sillas del pabellón. Confirmado que va aparte de la dirección técnica de La Rural.</t>
        </is>
      </c>
      <c r="D14" s="30" t="inlineStr">
        <is>
          <t>Sin cotizar</t>
        </is>
      </c>
      <c r="E14" s="31" t="inlineStr">
        <is>
          <t>USD</t>
        </is>
      </c>
      <c r="F14" s="38" t="n"/>
      <c r="G14" s="34" t="n"/>
      <c r="H14" s="37">
        <f>IF(F14="","",F14*(1+N(G14)))</f>
        <v/>
      </c>
      <c r="I14" s="36" t="n">
        <v>1</v>
      </c>
      <c r="J14" s="37">
        <f>IF(OR(D14="Bonificado",D14="Reemplazado"),0,N(I14)*IF(H14="",N(K14),IF(E14="USD",H14,H14/TABLERO!$C$4)))</f>
        <v/>
      </c>
      <c r="K14" s="38" t="n"/>
      <c r="L14" s="37">
        <f>IF(D14="Alternativa","",J14-N(K14))</f>
        <v/>
      </c>
      <c r="M14" s="39" t="inlineStr">
        <is>
          <t>Pendiente de pedir presupuesto</t>
        </is>
      </c>
    </row>
    <row r="15">
      <c r="A15" s="17" t="inlineStr">
        <is>
          <t>Subtotal Mobiliario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9">
        <f>SUMIF($D$12:$D$14,"&lt;&gt;Alternativa",$J$12:$J$14)</f>
        <v/>
      </c>
      <c r="K15" s="19">
        <f>SUM($K$12:$K$14)</f>
        <v/>
      </c>
      <c r="L15" s="19">
        <f>J15-K15</f>
        <v/>
      </c>
      <c r="M15" s="18" t="n"/>
    </row>
    <row r="16" ht="20" customHeight="1">
      <c r="A16" s="7" t="inlineStr">
        <is>
          <t>TÉCNICA</t>
        </is>
      </c>
    </row>
    <row r="17" ht="42" customHeight="1">
      <c r="A17" s="9" t="inlineStr">
        <is>
          <t>Producción técnica</t>
        </is>
      </c>
      <c r="B17" s="10" t="inlineStr">
        <is>
          <t>Cerrado por Agustina</t>
        </is>
      </c>
      <c r="C17" s="11" t="inlineStr">
        <is>
          <t>Sonido, iluminación, video y LED. Cerrado en dólares.</t>
        </is>
      </c>
      <c r="D17" s="9" t="inlineStr">
        <is>
          <t>Cerrado</t>
        </is>
      </c>
      <c r="E17" s="10" t="inlineStr">
        <is>
          <t>USD</t>
        </is>
      </c>
      <c r="F17" s="12" t="n">
        <v>60000</v>
      </c>
      <c r="G17" s="13" t="n"/>
      <c r="H17" s="14">
        <f>IF(F17="","",F17*(1+N(G17)))</f>
        <v/>
      </c>
      <c r="I17" s="15" t="n">
        <v>1</v>
      </c>
      <c r="J17" s="14">
        <f>IF(OR(D17="Bonificado",D17="Reemplazado"),0,N(I17)*IF(H17="",N(K17),IF(E17="USD",H17,H17/TABLERO!$C$4)))</f>
        <v/>
      </c>
      <c r="K17" s="12" t="n">
        <v>34000</v>
      </c>
      <c r="L17" s="14">
        <f>IF(D17="Alternativa","",J17-N(K17))</f>
        <v/>
      </c>
      <c r="M17" s="16" t="inlineStr">
        <is>
          <t>Negociación de Agustina · reemplaza la cotización vencida de Prina</t>
        </is>
      </c>
    </row>
    <row r="18" ht="42" customHeight="1">
      <c r="A18" s="9" t="inlineStr">
        <is>
          <t>Entelado</t>
        </is>
      </c>
      <c r="B18" s="10" t="inlineStr">
        <is>
          <t>Cerrado por Agustina</t>
        </is>
      </c>
      <c r="C18" s="11" t="inlineStr">
        <is>
          <t>Entelado del pabellón. Negociado a la mitad de lo que estaba cotizado.</t>
        </is>
      </c>
      <c r="D18" s="9" t="inlineStr">
        <is>
          <t>Cerrado</t>
        </is>
      </c>
      <c r="E18" s="10" t="inlineStr">
        <is>
          <t>ARS</t>
        </is>
      </c>
      <c r="F18" s="40" t="n">
        <v>24500000</v>
      </c>
      <c r="G18" s="13" t="n"/>
      <c r="H18" s="41">
        <f>IF(F18="","",F18*(1+N(G18)))</f>
        <v/>
      </c>
      <c r="I18" s="15" t="n">
        <v>1</v>
      </c>
      <c r="J18" s="14">
        <f>IF(OR(D18="Bonificado",D18="Reemplazado"),0,N(I18)*IF(H18="",N(K18),IF(E18="USD",H18,H18/TABLERO!$C$4)))</f>
        <v/>
      </c>
      <c r="K18" s="12" t="n"/>
      <c r="L18" s="14">
        <f>IF(D18="Alternativa","",J18-N(K18))</f>
        <v/>
      </c>
      <c r="M18" s="16" t="inlineStr">
        <is>
          <t>Negociación de Agustina · US$16.000 aprox. al dólar de referencia</t>
        </is>
      </c>
    </row>
    <row r="19" ht="42" customHeight="1">
      <c r="A19" s="9" t="inlineStr">
        <is>
          <t>Circuito cerrado (CCTV)</t>
        </is>
      </c>
      <c r="B19" s="10" t="inlineStr">
        <is>
          <t>Cerrado por Agustina</t>
        </is>
      </c>
      <c r="C19" s="11" t="inlineStr">
        <is>
          <t>Circuito cerrado de cámaras para el pabellón.</t>
        </is>
      </c>
      <c r="D19" s="9" t="inlineStr">
        <is>
          <t>Cerrado</t>
        </is>
      </c>
      <c r="E19" s="10" t="inlineStr">
        <is>
          <t>USD</t>
        </is>
      </c>
      <c r="F19" s="12" t="n">
        <v>6209</v>
      </c>
      <c r="G19" s="13" t="n"/>
      <c r="H19" s="14">
        <f>IF(F19="","",F19*(1+N(G19)))</f>
        <v/>
      </c>
      <c r="I19" s="15" t="n">
        <v>1</v>
      </c>
      <c r="J19" s="14">
        <f>IF(OR(D19="Bonificado",D19="Reemplazado"),0,N(I19)*IF(H19="",N(K19),IF(E19="USD",H19,H19/TABLERO!$C$4)))</f>
        <v/>
      </c>
      <c r="K19" s="12" t="n"/>
      <c r="L19" s="14">
        <f>IF(D19="Alternativa","",J19-N(K19))</f>
        <v/>
      </c>
      <c r="M19" s="16" t="inlineStr">
        <is>
          <t>Negociación de Agustina</t>
        </is>
      </c>
    </row>
    <row r="20" ht="42" customHeight="1">
      <c r="A20" s="42" t="inlineStr">
        <is>
          <t>Bonificado por el proveedor de técnica</t>
        </is>
      </c>
      <c r="B20" s="43" t="inlineStr">
        <is>
          <t>Sin costo</t>
        </is>
      </c>
      <c r="C20" s="44" t="inlineStr">
        <is>
          <t>500 vallas y efectos especiales, sin cargo. Es lo que evita el gasto de vallado que estaba presupuestado.</t>
        </is>
      </c>
      <c r="D20" s="42" t="inlineStr">
        <is>
          <t>Bonificado</t>
        </is>
      </c>
      <c r="E20" s="43" t="inlineStr">
        <is>
          <t>USD</t>
        </is>
      </c>
      <c r="F20" s="45" t="n"/>
      <c r="G20" s="46" t="n"/>
      <c r="H20" s="47">
        <f>IF(F20="","",F20*(1+N(G20)))</f>
        <v/>
      </c>
      <c r="I20" s="48" t="n">
        <v>1</v>
      </c>
      <c r="J20" s="47">
        <f>IF(OR(D20="Bonificado",D20="Reemplazado"),0,N(I20)*IF(H20="",N(K20),IF(E20="USD",H20,H20/TABLERO!$C$4)))</f>
        <v/>
      </c>
      <c r="K20" s="45" t="n"/>
      <c r="L20" s="47">
        <f>IF(D20="Alternativa","",J20-N(K20))</f>
        <v/>
      </c>
      <c r="M20" s="49" t="inlineStr">
        <is>
          <t>Negociación de Agustina</t>
        </is>
      </c>
    </row>
    <row r="21">
      <c r="A21" s="17" t="inlineStr">
        <is>
          <t>Subtotal Técnica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9">
        <f>SUMIF($D$17:$D$20,"&lt;&gt;Alternativa",$J$17:$J$20)</f>
        <v/>
      </c>
      <c r="K21" s="19">
        <f>SUM($K$17:$K$20)</f>
        <v/>
      </c>
      <c r="L21" s="19">
        <f>J21-K21</f>
        <v/>
      </c>
      <c r="M21" s="18" t="n"/>
    </row>
    <row r="22" ht="20" customHeight="1">
      <c r="A22" s="7" t="inlineStr">
        <is>
          <t>SERVICIOS</t>
        </is>
      </c>
    </row>
    <row r="23" ht="42" customHeight="1">
      <c r="A23" s="20" t="inlineStr">
        <is>
          <t>Conectividad WiFi</t>
        </is>
      </c>
      <c r="B23" s="21" t="inlineStr">
        <is>
          <t>La Rural — Servicios de Conectividad</t>
        </is>
      </c>
      <c r="C23" s="22" t="inlineStr">
        <is>
          <t>2 redes privadas de 30 Mbps (técnica + staff/acreditación), del 2 al 4 de octubre</t>
        </is>
      </c>
      <c r="D23" s="20" t="inlineStr">
        <is>
          <t>Cotizado</t>
        </is>
      </c>
      <c r="E23" s="21" t="inlineStr">
        <is>
          <t>ARS</t>
        </is>
      </c>
      <c r="F23" s="23" t="n">
        <v>1466063.84</v>
      </c>
      <c r="G23" s="24" t="n">
        <v>0.21</v>
      </c>
      <c r="H23" s="25">
        <f>IF(F23="","",F23*(1+N(G23)))</f>
        <v/>
      </c>
      <c r="I23" s="26" t="n">
        <v>1</v>
      </c>
      <c r="J23" s="27">
        <f>IF(OR(D23="Bonificado",D23="Reemplazado"),0,N(I23)*IF(H23="",N(K23),IF(E23="USD",H23,H23/TABLERO!$C$4)))</f>
        <v/>
      </c>
      <c r="K23" s="28" t="n">
        <v>800</v>
      </c>
      <c r="L23" s="27">
        <f>IF(D23="Alternativa","",J23-N(K23))</f>
        <v/>
      </c>
      <c r="M23" s="29" t="inlineStr">
        <is>
          <t>Mail conectividad@larural.com.ar 05/08/2026 · presupuesto N.º 2, base IPC junio (el del 16/06 era $1.438.728)</t>
        </is>
      </c>
    </row>
    <row r="24" ht="42" customHeight="1">
      <c r="A24" s="20" t="inlineStr">
        <is>
          <t>Seguridad y vigilancia</t>
        </is>
      </c>
      <c r="B24" s="21" t="inlineStr">
        <is>
          <t>Road Seguridad S.A.</t>
        </is>
      </c>
      <c r="C24" s="22" t="inlineStr">
        <is>
          <t>263 horas de vigilancia (armado, evento y desarme) + planos de evacuación $715.000 + supervisión general $795.000</t>
        </is>
      </c>
      <c r="D24" s="20" t="inlineStr">
        <is>
          <t>Cotizado</t>
        </is>
      </c>
      <c r="E24" s="21" t="inlineStr">
        <is>
          <t>ARS</t>
        </is>
      </c>
      <c r="F24" s="23" t="n">
        <v>7218928.96</v>
      </c>
      <c r="G24" s="24" t="n">
        <v>0.21</v>
      </c>
      <c r="H24" s="25">
        <f>IF(F24="","",F24*(1+N(G24)))</f>
        <v/>
      </c>
      <c r="I24" s="26" t="n">
        <v>1</v>
      </c>
      <c r="J24" s="27">
        <f>IF(OR(D24="Bonificado",D24="Reemplazado"),0,N(I24)*IF(H24="",N(K24),IF(E24="USD",H24,H24/TABLERO!$C$4)))</f>
        <v/>
      </c>
      <c r="K24" s="28" t="n"/>
      <c r="L24" s="27">
        <f>IF(D24="Alternativa","",J24-N(K24))</f>
        <v/>
      </c>
      <c r="M24" s="29" t="inlineStr">
        <is>
          <t>Mail presupuestos@roadseguridad.com.ar 12/08/2026 (versión V3, lista para firmar)</t>
        </is>
      </c>
    </row>
    <row r="25" ht="42" customHeight="1">
      <c r="A25" s="20" t="inlineStr">
        <is>
          <t>Servicio médico</t>
        </is>
      </c>
      <c r="B25" s="21" t="inlineStr">
        <is>
          <t>Vittal — Socorro Médico Privado</t>
        </is>
      </c>
      <c r="C25" s="22" t="inlineStr">
        <is>
          <t>1 UTIM TRI con dos médicos + enfermero/chofer, los tres días (2, 3 y 4 de octubre)</t>
        </is>
      </c>
      <c r="D25" s="20" t="inlineStr">
        <is>
          <t>Cotizado</t>
        </is>
      </c>
      <c r="E25" s="21" t="inlineStr">
        <is>
          <t>ARS</t>
        </is>
      </c>
      <c r="F25" s="23" t="n">
        <v>6366521.27</v>
      </c>
      <c r="G25" s="24" t="n">
        <v>0.105</v>
      </c>
      <c r="H25" s="25">
        <f>IF(F25="","",F25*(1+N(G25)))</f>
        <v/>
      </c>
      <c r="I25" s="26" t="n">
        <v>1</v>
      </c>
      <c r="J25" s="27">
        <f>IF(OR(D25="Bonificado",D25="Reemplazado"),0,N(I25)*IF(H25="",N(K25),IF(E25="USD",H25,H25/TABLERO!$C$4)))</f>
        <v/>
      </c>
      <c r="K25" s="28" t="n"/>
      <c r="L25" s="27">
        <f>IF(D25="Alternativa","",J25-N(K25))</f>
        <v/>
      </c>
      <c r="M25" s="29" t="inlineStr">
        <is>
          <t>Mail vtomas@vittal.com.ar 28/08/2026 · tarifas actualizadas, sin consultorio</t>
        </is>
      </c>
    </row>
    <row r="26" ht="42" customHeight="1">
      <c r="A26" s="20" t="inlineStr">
        <is>
          <t>Limpieza</t>
        </is>
      </c>
      <c r="B26" s="21" t="inlineStr">
        <is>
          <t>Higia Eventos</t>
        </is>
      </c>
      <c r="C26" s="22" t="inlineStr">
        <is>
          <t>205,5 horas de limpieza: auditorio, baños y guardarropas, del 2 al 5 de octubre</t>
        </is>
      </c>
      <c r="D26" s="20" t="inlineStr">
        <is>
          <t>Cotizado</t>
        </is>
      </c>
      <c r="E26" s="21" t="inlineStr">
        <is>
          <t>ARS</t>
        </is>
      </c>
      <c r="F26" s="23" t="n">
        <v>3367440.91</v>
      </c>
      <c r="G26" s="24" t="n">
        <v>0.21</v>
      </c>
      <c r="H26" s="25">
        <f>IF(F26="","",F26*(1+N(G26)))</f>
        <v/>
      </c>
      <c r="I26" s="26" t="n">
        <v>1</v>
      </c>
      <c r="J26" s="27">
        <f>IF(OR(D26="Bonificado",D26="Reemplazado"),0,N(I26)*IF(H26="",N(K26),IF(E26="USD",H26,H26/TABLERO!$C$4)))</f>
        <v/>
      </c>
      <c r="K26" s="28" t="n"/>
      <c r="L26" s="27">
        <f>IF(D26="Alternativa","",J26-N(K26))</f>
        <v/>
      </c>
      <c r="M26" s="29" t="inlineStr">
        <is>
          <t>Mail higiaeventos 22/06/2026 (reenviado 29/06) · 50% de anticipo antes del armado</t>
        </is>
      </c>
    </row>
    <row r="27" ht="42" customHeight="1">
      <c r="A27" s="20" t="inlineStr">
        <is>
          <t>Retiro de residuos</t>
        </is>
      </c>
      <c r="B27" s="21" t="inlineStr">
        <is>
          <t>Gale Servicios</t>
        </is>
      </c>
      <c r="C27" s="22" t="inlineStr">
        <is>
          <t>Roll off con disposición final incluida. Cotización base abril 2026.</t>
        </is>
      </c>
      <c r="D27" s="20" t="inlineStr">
        <is>
          <t>Cotizado</t>
        </is>
      </c>
      <c r="E27" s="21" t="inlineStr">
        <is>
          <t>ARS</t>
        </is>
      </c>
      <c r="F27" s="23" t="n">
        <v>1471608.62</v>
      </c>
      <c r="G27" s="24" t="n">
        <v>0.21</v>
      </c>
      <c r="H27" s="25">
        <f>IF(F27="","",F27*(1+N(G27)))</f>
        <v/>
      </c>
      <c r="I27" s="26" t="n">
        <v>1</v>
      </c>
      <c r="J27" s="27">
        <f>IF(OR(D27="Bonificado",D27="Reemplazado"),0,N(I27)*IF(H27="",N(K27),IF(E27="USD",H27,H27/TABLERO!$C$4)))</f>
        <v/>
      </c>
      <c r="K27" s="28" t="n"/>
      <c r="L27" s="27">
        <f>IF(D27="Alternativa","",J27-N(K27))</f>
        <v/>
      </c>
      <c r="M27" s="29" t="inlineStr">
        <is>
          <t>Mail higiaeventos 22/06/2026 (adjunto Gale) · se factura 100% por adelantado</t>
        </is>
      </c>
    </row>
    <row r="28" ht="42" customHeight="1">
      <c r="A28" s="30" t="inlineStr">
        <is>
          <t>Baños químicos — ecobaños</t>
        </is>
      </c>
      <c r="B28" s="31" t="inlineStr">
        <is>
          <t>Sin cotizar</t>
        </is>
      </c>
      <c r="C28" s="32" t="inlineStr">
        <is>
          <t>Decidido: ecobaños, no los químicos tradicionales. Más limpios, mejor a la vista y ecofriendly. Falta pedir presupuesto.</t>
        </is>
      </c>
      <c r="D28" s="30" t="inlineStr">
        <is>
          <t>Sin cotizar</t>
        </is>
      </c>
      <c r="E28" s="31" t="inlineStr">
        <is>
          <t>USD</t>
        </is>
      </c>
      <c r="F28" s="38" t="n"/>
      <c r="G28" s="34" t="n"/>
      <c r="H28" s="37">
        <f>IF(F28="","",F28*(1+N(G28)))</f>
        <v/>
      </c>
      <c r="I28" s="36" t="n">
        <v>1</v>
      </c>
      <c r="J28" s="37">
        <f>IF(OR(D28="Bonificado",D28="Reemplazado"),0,N(I28)*IF(H28="",N(K28),IF(E28="USD",H28,H28/TABLERO!$C$4)))</f>
        <v/>
      </c>
      <c r="K28" s="38" t="n"/>
      <c r="L28" s="37">
        <f>IF(D28="Alternativa","",J28-N(K28))</f>
        <v/>
      </c>
      <c r="M28" s="39" t="inlineStr">
        <is>
          <t>Decisión de Agustina · pendiente de cotizar</t>
        </is>
      </c>
    </row>
    <row r="29" ht="42" customHeight="1">
      <c r="A29" s="20" t="inlineStr">
        <is>
          <t>Seguro de accidentes personales</t>
        </is>
      </c>
      <c r="B29" s="21" t="inlineStr">
        <is>
          <t>Chanes Seguros</t>
        </is>
      </c>
      <c r="C29" s="22" t="inlineStr">
        <is>
          <t>Cobertura MIA (muerte, invalidez y asistencia médica) para 150 personas, exigida por La Rural</t>
        </is>
      </c>
      <c r="D29" s="20" t="inlineStr">
        <is>
          <t>Cotizado</t>
        </is>
      </c>
      <c r="E29" s="21" t="inlineStr">
        <is>
          <t>ARS</t>
        </is>
      </c>
      <c r="F29" s="23" t="n">
        <v>953151.9300000001</v>
      </c>
      <c r="G29" s="24" t="n"/>
      <c r="H29" s="25">
        <f>IF(F29="","",F29*(1+N(G29)))</f>
        <v/>
      </c>
      <c r="I29" s="26" t="n">
        <v>1</v>
      </c>
      <c r="J29" s="27">
        <f>IF(OR(D29="Bonificado",D29="Reemplazado"),0,N(I29)*IF(H29="",N(K29),IF(E29="USD",H29,H29/TABLERO!$C$4)))</f>
        <v/>
      </c>
      <c r="K29" s="28" t="n">
        <v>400</v>
      </c>
      <c r="L29" s="27">
        <f>IF(D29="Alternativa","",J29-N(K29))</f>
        <v/>
      </c>
      <c r="M29" s="29" t="inlineStr">
        <is>
          <t>Mail nestor@chanesseguros.com.ar 13/07/2026 · premio único, cotizado para 15-19/07</t>
        </is>
      </c>
    </row>
    <row r="30">
      <c r="A30" s="17" t="inlineStr">
        <is>
          <t>Subtotal Servicios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9">
        <f>SUMIF($D$23:$D$29,"&lt;&gt;Alternativa",$J$23:$J$29)</f>
        <v/>
      </c>
      <c r="K30" s="19">
        <f>SUM($K$23:$K$29)</f>
        <v/>
      </c>
      <c r="L30" s="19">
        <f>J30-K30</f>
        <v/>
      </c>
      <c r="M30" s="18" t="n"/>
    </row>
    <row r="31" ht="20" customHeight="1">
      <c r="A31" s="7" t="inlineStr">
        <is>
          <t>MERCH</t>
        </is>
      </c>
    </row>
    <row r="32" ht="42" customHeight="1">
      <c r="A32" s="9" t="inlineStr">
        <is>
          <t>Pañuelos / pañoletas estampados (8.500)</t>
        </is>
      </c>
      <c r="B32" s="10" t="inlineStr">
        <is>
          <t>REMERASYESTAMPADOS</t>
        </is>
      </c>
      <c r="C32" s="11" t="inlineStr">
        <is>
          <t>Factura 2601012 del 20/06. Compra compartida Argentina + Uruguay: se imputa a Argentina el 65% (5.500 de 8.500 unidades, la misma proporcion que la grafica). El 50% ya esta abonado; el saldo se paga con la factura 2601019 por 5.276,51 USDT, de los cuales 3.429,73 son de Argentina.</t>
        </is>
      </c>
      <c r="D32" s="9" t="inlineStr">
        <is>
          <t>Contratado</t>
        </is>
      </c>
      <c r="E32" s="10" t="inlineStr">
        <is>
          <t>ARS</t>
        </is>
      </c>
      <c r="F32" s="40" t="n">
        <v>13387500</v>
      </c>
      <c r="G32" s="13" t="n">
        <v>0.21</v>
      </c>
      <c r="H32" s="41">
        <f>IF(F32="","",F32*(1+N(G32)))</f>
        <v/>
      </c>
      <c r="I32" s="13" t="n">
        <v>0.65</v>
      </c>
      <c r="J32" s="14">
        <f>IF(OR(D32="Bonificado",D32="Reemplazado"),0,N(I32)*IF(H32="",N(K32),IF(E32="USD",H32,H32/TABLERO!$C$4)))</f>
        <v/>
      </c>
      <c r="K32" s="12" t="n"/>
      <c r="L32" s="14">
        <f>IF(D32="Alternativa","",J32-N(K32))</f>
        <v/>
      </c>
      <c r="M32" s="16" t="inlineStr">
        <is>
          <t>Drive · Presupuesto Pañuelos - Arg y Uru · facturas 2601012 (20/06) y 2601019 (16/08)</t>
        </is>
      </c>
    </row>
    <row r="33" ht="42" customHeight="1">
      <c r="A33" s="9" t="inlineStr">
        <is>
          <t>Remeras premium estampadas (250)</t>
        </is>
      </c>
      <c r="B33" s="10" t="inlineStr">
        <is>
          <t>REMERASYESTAMPADOS</t>
        </is>
      </c>
      <c r="C33" s="11" t="inlineStr">
        <is>
          <t>Factura 2601017 del 16/08, $14.110 por unidad. Sube de 230 a 250 unidades contra la factura original 2601011, al mismo precio unitario. SIN PAGAR: se debe el 100% (2.780,64 USDT).</t>
        </is>
      </c>
      <c r="D33" s="9" t="inlineStr">
        <is>
          <t>Contratado</t>
        </is>
      </c>
      <c r="E33" s="10" t="inlineStr">
        <is>
          <t>ARS</t>
        </is>
      </c>
      <c r="F33" s="40" t="n">
        <v>3527500</v>
      </c>
      <c r="G33" s="13" t="n">
        <v>0.21</v>
      </c>
      <c r="H33" s="41">
        <f>IF(F33="","",F33*(1+N(G33)))</f>
        <v/>
      </c>
      <c r="I33" s="15" t="n">
        <v>1</v>
      </c>
      <c r="J33" s="14">
        <f>IF(OR(D33="Bonificado",D33="Reemplazado"),0,N(I33)*IF(H33="",N(K33),IF(E33="USD",H33,H33/TABLERO!$C$4)))</f>
        <v/>
      </c>
      <c r="K33" s="12" t="n"/>
      <c r="L33" s="14">
        <f>IF(D33="Alternativa","",J33-N(K33))</f>
        <v/>
      </c>
      <c r="M33" s="16" t="inlineStr">
        <is>
          <t>Drive · Presupuestos camisetas + pañoletas · factura 2601017 (16/08)</t>
        </is>
      </c>
    </row>
    <row r="34" ht="42" customHeight="1">
      <c r="A34" s="9" t="inlineStr">
        <is>
          <t>Bordado de gorras (940)</t>
        </is>
      </c>
      <c r="B34" s="10" t="inlineStr">
        <is>
          <t>REMERASYESTAMPADOS</t>
        </is>
      </c>
      <c r="C34" s="11" t="inlineStr">
        <is>
          <t>Bordado computarizado sobre las gorras que provee el cliente. Presupuesto del 03/07 con el descuento de $411.800 ya aplicado. Precio final, no lleva IVA. SIN PAGAR: se debe el 100% (1.721,95 USDT).</t>
        </is>
      </c>
      <c r="D34" s="9" t="inlineStr">
        <is>
          <t>Contratado</t>
        </is>
      </c>
      <c r="E34" s="10" t="inlineStr">
        <is>
          <t>ARS</t>
        </is>
      </c>
      <c r="F34" s="40" t="n">
        <v>2643200</v>
      </c>
      <c r="G34" s="13" t="n"/>
      <c r="H34" s="41">
        <f>IF(F34="","",F34*(1+N(G34)))</f>
        <v/>
      </c>
      <c r="I34" s="15" t="n">
        <v>1</v>
      </c>
      <c r="J34" s="14">
        <f>IF(OR(D34="Bonificado",D34="Reemplazado"),0,N(I34)*IF(H34="",N(K34),IF(E34="USD",H34,H34/TABLERO!$C$4)))</f>
        <v/>
      </c>
      <c r="K34" s="12" t="n"/>
      <c r="L34" s="14">
        <f>IF(D34="Alternativa","",J34-N(K34))</f>
        <v/>
      </c>
      <c r="M34" s="16" t="inlineStr">
        <is>
          <t>Drive · Presupuesto gorras (compra y bordado) / Bordado · factura 2601016 (10/08)</t>
        </is>
      </c>
    </row>
    <row r="35" ht="42" customHeight="1">
      <c r="A35" s="9" t="inlineStr">
        <is>
          <t>Gorras Flex unicolor/bicolor (940)</t>
        </is>
      </c>
      <c r="B35" s="10" t="inlineStr">
        <is>
          <t>TEXTIL RYU S.R.L.</t>
        </is>
      </c>
      <c r="C35" s="11" t="inlineStr">
        <is>
          <t>Factura 2601009 del 20/06, pagada al 100% el 25/06. Es la compra de las gorras; el bordado va en su propia linea.</t>
        </is>
      </c>
      <c r="D35" s="9" t="inlineStr">
        <is>
          <t>Contratado</t>
        </is>
      </c>
      <c r="E35" s="10" t="inlineStr">
        <is>
          <t>ARS</t>
        </is>
      </c>
      <c r="F35" s="40" t="n">
        <v>2224980</v>
      </c>
      <c r="G35" s="13" t="n">
        <v>0.21</v>
      </c>
      <c r="H35" s="41">
        <f>IF(F35="","",F35*(1+N(G35)))</f>
        <v/>
      </c>
      <c r="I35" s="15" t="n">
        <v>1</v>
      </c>
      <c r="J35" s="14">
        <f>IF(OR(D35="Bonificado",D35="Reemplazado"),0,N(I35)*IF(H35="",N(K35),IF(E35="USD",H35,H35/TABLERO!$C$4)))</f>
        <v/>
      </c>
      <c r="K35" s="12" t="n">
        <v>5000</v>
      </c>
      <c r="L35" s="14">
        <f>IF(D35="Alternativa","",J35-N(K35))</f>
        <v/>
      </c>
      <c r="M35" s="16" t="inlineStr">
        <is>
          <t>Drive · Compra de gorras · factura 2601009 · hoja PAGOS del master</t>
        </is>
      </c>
    </row>
    <row r="36" ht="42" customHeight="1">
      <c r="A36" s="9" t="inlineStr">
        <is>
          <t>Lanyards premium doble raso 25 mm (1.360)</t>
        </is>
      </c>
      <c r="B36" s="10" t="inlineStr">
        <is>
          <t>LEOTEX</t>
        </is>
      </c>
      <c r="C36" s="11" t="inlineStr">
        <is>
          <t>Sublimacion full print en ambas caras, 1.300 negros + 50 azules (la factura dice 1.360, la suma da 1.350: hay 10 de diferencia). Reemitida como 2601018 en USDT. OJO: la carpeta se llama "Nuevo pago - 50%" pero la factura viene por el total.</t>
        </is>
      </c>
      <c r="D36" s="9" t="inlineStr">
        <is>
          <t>Contratado</t>
        </is>
      </c>
      <c r="E36" s="10" t="inlineStr">
        <is>
          <t>ARS</t>
        </is>
      </c>
      <c r="F36" s="40" t="n">
        <v>2070600</v>
      </c>
      <c r="G36" s="13" t="n">
        <v>0.21</v>
      </c>
      <c r="H36" s="41">
        <f>IF(F36="","",F36*(1+N(G36)))</f>
        <v/>
      </c>
      <c r="I36" s="15" t="n">
        <v>1</v>
      </c>
      <c r="J36" s="14">
        <f>IF(OR(D36="Bonificado",D36="Reemplazado"),0,N(I36)*IF(H36="",N(K36),IF(E36="USD",H36,H36/TABLERO!$C$4)))</f>
        <v/>
      </c>
      <c r="K36" s="12" t="n"/>
      <c r="L36" s="14">
        <f>IF(D36="Alternativa","",J36-N(K36))</f>
        <v/>
      </c>
      <c r="M36" s="16" t="inlineStr">
        <is>
          <t>Drive · Presupuesto Lanyards · facturas 2601013 (20/06) y 2601018 (16/08)</t>
        </is>
      </c>
    </row>
    <row r="37" ht="42" customHeight="1">
      <c r="A37" s="9" t="inlineStr">
        <is>
          <t>Grafica oficial CMC — Argentina</t>
        </is>
      </c>
      <c r="B37" s="10" t="inlineStr">
        <is>
          <t>DERQUI IMPRESIONES</t>
        </is>
      </c>
      <c r="C37" s="11" t="inlineStr">
        <is>
          <t>5.500 hojas A4, 5.500 tarjetas, 1.030 credenciales, 5.500 mapas y 1.000 bolsas de friselina. Reemitida el 16/08 para cambiar el medio de pago a USDT.</t>
        </is>
      </c>
      <c r="D37" s="9" t="inlineStr">
        <is>
          <t>Contratado</t>
        </is>
      </c>
      <c r="E37" s="10" t="inlineStr">
        <is>
          <t>ARS</t>
        </is>
      </c>
      <c r="F37" s="40" t="n">
        <v>3025260</v>
      </c>
      <c r="G37" s="13" t="n">
        <v>0.21</v>
      </c>
      <c r="H37" s="41">
        <f>IF(F37="","",F37*(1+N(G37)))</f>
        <v/>
      </c>
      <c r="I37" s="15" t="n">
        <v>1</v>
      </c>
      <c r="J37" s="14">
        <f>IF(OR(D37="Bonificado",D37="Reemplazado"),0,N(I37)*IF(H37="",N(K37),IF(E37="USD",H37,H37/TABLERO!$C$4)))</f>
        <v/>
      </c>
      <c r="K37" s="12" t="n"/>
      <c r="L37" s="14">
        <f>IF(D37="Alternativa","",J37-N(K37))</f>
        <v/>
      </c>
      <c r="M37" s="16" t="inlineStr">
        <is>
          <t>Drive · Factura/presu ARGENTINA · factura 2601014 (20/06, reemitida 16/08)</t>
        </is>
      </c>
    </row>
    <row r="38" ht="42" customHeight="1">
      <c r="A38" s="42" t="inlineStr">
        <is>
          <t>Grafica oficial CMC — Uruguay</t>
        </is>
      </c>
      <c r="B38" s="43" t="inlineStr">
        <is>
          <t>DERQUI IMPRESIONES</t>
        </is>
      </c>
      <c r="C38" s="44" t="inlineStr">
        <is>
          <t>NO ES DE ARGENTINA. 2.800 hojas A4, 2.800 tarjetas, 530 credenciales, 2.800 mapas y 1.000 bolsas de friselina, para el evento de Uruguay. Se deja a la vista en cero porque en la hoja PAGOS del master estaba cargada como Argentina: es el monto que no cerraba.</t>
        </is>
      </c>
      <c r="D38" s="42" t="inlineStr">
        <is>
          <t>Otro pais</t>
        </is>
      </c>
      <c r="E38" s="43" t="inlineStr">
        <is>
          <t>ARS</t>
        </is>
      </c>
      <c r="F38" s="50" t="n">
        <v>1564626</v>
      </c>
      <c r="G38" s="46" t="n">
        <v>0.21</v>
      </c>
      <c r="H38" s="51">
        <f>IF(F38="","",F38*(1+N(G38)))</f>
        <v/>
      </c>
      <c r="I38" s="46" t="n">
        <v>0</v>
      </c>
      <c r="J38" s="47">
        <f>IF(OR(D38="Bonificado",D38="Reemplazado"),0,N(I38)*IF(H38="",N(K38),IF(E38="USD",H38,H38/TABLERO!$C$4)))</f>
        <v/>
      </c>
      <c r="K38" s="45" t="n"/>
      <c r="L38" s="47">
        <f>IF(D38="Alternativa","",J38-N(K38))</f>
        <v/>
      </c>
      <c r="M38" s="49" t="inlineStr">
        <is>
          <t>Drive · Factura/presu URUGUAY · factura 2601015 (20/06, reemitida 16/08)</t>
        </is>
      </c>
    </row>
    <row r="39" ht="42" customHeight="1">
      <c r="A39" s="42" t="inlineStr">
        <is>
          <t>Cintas portacredencial (1.300) — alternativa</t>
        </is>
      </c>
      <c r="B39" s="43" t="inlineStr">
        <is>
          <t>Blocko</t>
        </is>
      </c>
      <c r="C39" s="44" t="inlineStr">
        <is>
          <t>Cinta raso 25 mm impresa a 4 colores dos caras + mosqueton zamak, $1.346 c/u. Es el MISMO item que los lanyards de LEOTEX, que ya esta contratado y con anticipo pagado. Estaba sumando dos veces: ahora queda como alternativa descartada.</t>
        </is>
      </c>
      <c r="D39" s="42" t="inlineStr">
        <is>
          <t>Alternativa</t>
        </is>
      </c>
      <c r="E39" s="43" t="inlineStr">
        <is>
          <t>ARS</t>
        </is>
      </c>
      <c r="F39" s="50" t="n">
        <v>1749800</v>
      </c>
      <c r="G39" s="46" t="n">
        <v>0.21</v>
      </c>
      <c r="H39" s="51">
        <f>IF(F39="","",F39*(1+N(G39)))</f>
        <v/>
      </c>
      <c r="I39" s="48" t="n">
        <v>1</v>
      </c>
      <c r="J39" s="47">
        <f>IF(OR(D39="Bonificado",D39="Reemplazado"),0,N(I39)*IF(H39="",N(K39),IF(E39="USD",H39,H39/TABLERO!$C$4)))</f>
        <v/>
      </c>
      <c r="K39" s="45" t="n"/>
      <c r="L39" s="47">
        <f>IF(D39="Alternativa","",J39-N(K39))</f>
        <v/>
      </c>
      <c r="M39" s="49" t="inlineStr">
        <is>
          <t>Mail hola@blocko.com.ar 09/06/2026 · descartada contra la factura 2601013 de LEOTEX</t>
        </is>
      </c>
    </row>
    <row r="40" ht="42" customHeight="1">
      <c r="A40" s="30" t="inlineStr">
        <is>
          <t>Marqueteria y enmarcado</t>
        </is>
      </c>
      <c r="B40" s="31" t="inlineStr">
        <is>
          <t>Sin cotizar</t>
        </is>
      </c>
      <c r="C40" s="32" t="inlineStr">
        <is>
          <t>Enmarcado de las certificaciones y los premios. Rubro nuevo, no estaba en ninguna planilla.</t>
        </is>
      </c>
      <c r="D40" s="30" t="inlineStr">
        <is>
          <t>Sin cotizar</t>
        </is>
      </c>
      <c r="E40" s="31" t="inlineStr">
        <is>
          <t>USD</t>
        </is>
      </c>
      <c r="F40" s="38" t="n"/>
      <c r="G40" s="34" t="n"/>
      <c r="H40" s="37">
        <f>IF(F40="","",F40*(1+N(G40)))</f>
        <v/>
      </c>
      <c r="I40" s="36" t="n">
        <v>1</v>
      </c>
      <c r="J40" s="37">
        <f>IF(OR(D40="Bonificado",D40="Reemplazado"),0,N(I40)*IF(H40="",N(K40),IF(E40="USD",H40,H40/TABLERO!$C$4)))</f>
        <v/>
      </c>
      <c r="K40" s="38" t="n"/>
      <c r="L40" s="37">
        <f>IF(D40="Alternativa","",J40-N(K40))</f>
        <v/>
      </c>
      <c r="M40" s="39" t="inlineStr">
        <is>
          <t>Agregado por Agustina · pendiente de cotizar</t>
        </is>
      </c>
    </row>
    <row r="41" ht="42" customHeight="1">
      <c r="A41" s="30" t="inlineStr">
        <is>
          <t>Cheques, escarapelas, diplomas, placas y manillas</t>
        </is>
      </c>
      <c r="B41" s="31" t="inlineStr">
        <is>
          <t>Sin cotizar</t>
        </is>
      </c>
      <c r="C41" s="32" t="inlineStr">
        <is>
          <t>Lo unico del merch que las facturas de Drive NO cubren. Las camisetas, los mapas, las bolsas y las credenciales ya estan facturados arriba.</t>
        </is>
      </c>
      <c r="D41" s="30" t="inlineStr">
        <is>
          <t>Sin cotizar</t>
        </is>
      </c>
      <c r="E41" s="31" t="inlineStr">
        <is>
          <t>USD</t>
        </is>
      </c>
      <c r="F41" s="38" t="n"/>
      <c r="G41" s="34" t="n"/>
      <c r="H41" s="37">
        <f>IF(F41="","",F41*(1+N(G41)))</f>
        <v/>
      </c>
      <c r="I41" s="36" t="n">
        <v>1</v>
      </c>
      <c r="J41" s="37">
        <f>IF(OR(D41="Bonificado",D41="Reemplazado"),0,N(I41)*IF(H41="",N(K41),IF(E41="USD",H41,H41/TABLERO!$C$4)))</f>
        <v/>
      </c>
      <c r="K41" s="38" t="n"/>
      <c r="L41" s="37">
        <f>IF(D41="Alternativa","",J41-N(K41))</f>
        <v/>
      </c>
      <c r="M41" s="39" t="inlineStr">
        <is>
          <t>Pendiente de cotizar · antes estaba dentro del estimado global de US$8.689</t>
        </is>
      </c>
    </row>
    <row r="42" ht="42" customHeight="1">
      <c r="A42" s="42" t="inlineStr">
        <is>
          <t>Estimado global de merch del master (reemplazado)</t>
        </is>
      </c>
      <c r="B42" s="43" t="inlineStr">
        <is>
          <t>Varios</t>
        </is>
      </c>
      <c r="C42" s="44" t="inlineStr">
        <is>
          <t>La hoja Argentina del master tenia US$8.689 en un solo renglon por contratos, cheques, escarapelas, bolsas, camisetas, mapas, diplomas, placas y manillas. Queda en cero como costo porque las facturas reales de arriba lo reemplazan; se conserva el estimado para poder comparar contra el presupuesto original.</t>
        </is>
      </c>
      <c r="D42" s="42" t="inlineStr">
        <is>
          <t>Reemplazado</t>
        </is>
      </c>
      <c r="E42" s="43" t="inlineStr">
        <is>
          <t>USD</t>
        </is>
      </c>
      <c r="F42" s="45" t="n"/>
      <c r="G42" s="46" t="n"/>
      <c r="H42" s="47">
        <f>IF(F42="","",F42*(1+N(G42)))</f>
        <v/>
      </c>
      <c r="I42" s="48" t="n">
        <v>1</v>
      </c>
      <c r="J42" s="47">
        <f>IF(OR(D42="Bonificado",D42="Reemplazado"),0,N(I42)*IF(H42="",N(K42),IF(E42="USD",H42,H42/TABLERO!$C$4)))</f>
        <v/>
      </c>
      <c r="K42" s="45" t="n">
        <v>8689</v>
      </c>
      <c r="L42" s="47">
        <f>IF(D42="Alternativa","",J42-N(K42))</f>
        <v/>
      </c>
      <c r="M42" s="49" t="inlineStr">
        <is>
          <t>Hoja Argentina del master · reemplazado por las facturas 2601009 a 2601019</t>
        </is>
      </c>
    </row>
    <row r="43">
      <c r="A43" s="17" t="inlineStr">
        <is>
          <t>Subtotal Merch</t>
        </is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9">
        <f>SUMIF($D$32:$D$42,"&lt;&gt;Alternativa",$J$32:$J$42)</f>
        <v/>
      </c>
      <c r="K43" s="19">
        <f>SUM($K$32:$K$42)</f>
        <v/>
      </c>
      <c r="L43" s="19">
        <f>J43-K43</f>
        <v/>
      </c>
      <c r="M43" s="18" t="n"/>
    </row>
    <row r="44" ht="20" customHeight="1">
      <c r="A44" s="7" t="inlineStr">
        <is>
          <t>CATERING</t>
        </is>
      </c>
    </row>
    <row r="45" ht="42" customHeight="1">
      <c r="A45" s="9" t="inlineStr">
        <is>
          <t>Catering VIP, staff y equipo</t>
        </is>
      </c>
      <c r="B45" s="10" t="inlineStr">
        <is>
          <t>Grupo Ambient</t>
        </is>
      </c>
      <c r="C45" s="11" t="inlineStr">
        <is>
          <t>Número final por las dos propuestas juntas: 600 lunchbox para los VIP + desayuno, almuerzo y cena para 150 personas.</t>
        </is>
      </c>
      <c r="D45" s="9" t="inlineStr">
        <is>
          <t>Cerrado</t>
        </is>
      </c>
      <c r="E45" s="10" t="inlineStr">
        <is>
          <t>USD</t>
        </is>
      </c>
      <c r="F45" s="12" t="n">
        <v>14569</v>
      </c>
      <c r="G45" s="13" t="n"/>
      <c r="H45" s="14">
        <f>IF(F45="","",F45*(1+N(G45)))</f>
        <v/>
      </c>
      <c r="I45" s="15" t="n">
        <v>1</v>
      </c>
      <c r="J45" s="14">
        <f>IF(OR(D45="Bonificado",D45="Reemplazado"),0,N(I45)*IF(H45="",N(K45),IF(E45="USD",H45,H45/TABLERO!$C$4)))</f>
        <v/>
      </c>
      <c r="K45" s="12" t="n">
        <v>33820</v>
      </c>
      <c r="L45" s="14">
        <f>IF(D45="Alternativa","",J45-N(K45))</f>
        <v/>
      </c>
      <c r="M45" s="16" t="inlineStr">
        <is>
          <t>Cierre de Agustina con Grupo Ambient · reemplaza la estimación de $25.000.000</t>
        </is>
      </c>
    </row>
    <row r="46" ht="42" customHeight="1">
      <c r="A46" s="42" t="inlineStr">
        <is>
          <t>Food trucks</t>
        </is>
      </c>
      <c r="B46" s="43" t="inlineStr">
        <is>
          <t>Sin costo</t>
        </is>
      </c>
      <c r="C46" s="44" t="inlineStr">
        <is>
          <t>No los paga la producción.</t>
        </is>
      </c>
      <c r="D46" s="42" t="inlineStr">
        <is>
          <t>Bonificado</t>
        </is>
      </c>
      <c r="E46" s="43" t="inlineStr">
        <is>
          <t>USD</t>
        </is>
      </c>
      <c r="F46" s="45" t="n"/>
      <c r="G46" s="46" t="n"/>
      <c r="H46" s="47">
        <f>IF(F46="","",F46*(1+N(G46)))</f>
        <v/>
      </c>
      <c r="I46" s="48" t="n">
        <v>1</v>
      </c>
      <c r="J46" s="47">
        <f>IF(OR(D46="Bonificado",D46="Reemplazado"),0,N(I46)*IF(H46="",N(K46),IF(E46="USD",H46,H46/TABLERO!$C$4)))</f>
        <v/>
      </c>
      <c r="K46" s="45" t="n"/>
      <c r="L46" s="47">
        <f>IF(D46="Alternativa","",J46-N(K46))</f>
        <v/>
      </c>
      <c r="M46" s="49" t="inlineStr">
        <is>
          <t>Confirmado por Agustina</t>
        </is>
      </c>
    </row>
    <row r="47">
      <c r="A47" s="17" t="inlineStr">
        <is>
          <t>Subtotal Catering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9">
        <f>SUMIF($D$45:$D$46,"&lt;&gt;Alternativa",$J$45:$J$46)</f>
        <v/>
      </c>
      <c r="K47" s="19">
        <f>SUM($K$45:$K$46)</f>
        <v/>
      </c>
      <c r="L47" s="19">
        <f>J47-K47</f>
        <v/>
      </c>
      <c r="M47" s="18" t="n"/>
    </row>
    <row r="48" ht="20" customHeight="1">
      <c r="A48" s="7" t="inlineStr">
        <is>
          <t>PRODUCCIÓN</t>
        </is>
      </c>
    </row>
    <row r="49" ht="42" customHeight="1">
      <c r="A49" s="30" t="inlineStr">
        <is>
          <t>Unifilas</t>
        </is>
      </c>
      <c r="B49" s="31" t="inlineStr">
        <is>
          <t>A definir</t>
        </is>
      </c>
      <c r="C49" s="32" t="inlineStr">
        <is>
          <t>Estimado del sheet, sin cotización</t>
        </is>
      </c>
      <c r="D49" s="30" t="inlineStr">
        <is>
          <t>Sin cotizar</t>
        </is>
      </c>
      <c r="E49" s="31" t="inlineStr">
        <is>
          <t>USD</t>
        </is>
      </c>
      <c r="F49" s="38" t="n"/>
      <c r="G49" s="34" t="n"/>
      <c r="H49" s="37">
        <f>IF(F49="","",F49*(1+N(G49)))</f>
        <v/>
      </c>
      <c r="I49" s="36" t="n">
        <v>1</v>
      </c>
      <c r="J49" s="37">
        <f>IF(OR(D49="Bonificado",D49="Reemplazado"),0,N(I49)*IF(H49="",N(K49),IF(E49="USD",H49,H49/TABLERO!$C$4)))</f>
        <v/>
      </c>
      <c r="K49" s="38" t="n">
        <v>1200</v>
      </c>
      <c r="L49" s="37">
        <f>IF(D49="Alternativa","",J49-N(K49))</f>
        <v/>
      </c>
      <c r="M49" s="39" t="inlineStr">
        <is>
          <t>Hoja Argentina del master</t>
        </is>
      </c>
    </row>
    <row r="50" ht="42" customHeight="1">
      <c r="A50" s="42" t="inlineStr">
        <is>
          <t>Vallado (500 vallas)</t>
        </is>
      </c>
      <c r="B50" s="43" t="inlineStr">
        <is>
          <t>Bonificado por técnica</t>
        </is>
      </c>
      <c r="C50" s="44" t="inlineStr">
        <is>
          <t>Las 500 vallas las regala el proveedor de técnica. Estaban presupuestadas en US$1.250.</t>
        </is>
      </c>
      <c r="D50" s="42" t="inlineStr">
        <is>
          <t>Bonificado</t>
        </is>
      </c>
      <c r="E50" s="43" t="inlineStr">
        <is>
          <t>USD</t>
        </is>
      </c>
      <c r="F50" s="45" t="n"/>
      <c r="G50" s="46" t="n"/>
      <c r="H50" s="47">
        <f>IF(F50="","",F50*(1+N(G50)))</f>
        <v/>
      </c>
      <c r="I50" s="48" t="n">
        <v>1</v>
      </c>
      <c r="J50" s="47">
        <f>IF(OR(D50="Bonificado",D50="Reemplazado"),0,N(I50)*IF(H50="",N(K50),IF(E50="USD",H50,H50/TABLERO!$C$4)))</f>
        <v/>
      </c>
      <c r="K50" s="45" t="n">
        <v>1250</v>
      </c>
      <c r="L50" s="47">
        <f>IF(D50="Alternativa","",J50-N(K50))</f>
        <v/>
      </c>
      <c r="M50" s="49" t="inlineStr">
        <is>
          <t>Negociación de Agustina</t>
        </is>
      </c>
    </row>
    <row r="51" ht="42" customHeight="1">
      <c r="A51" s="30" t="inlineStr">
        <is>
          <t>DJ</t>
        </is>
      </c>
      <c r="B51" s="31" t="inlineStr">
        <is>
          <t>A definir</t>
        </is>
      </c>
      <c r="C51" s="32" t="inlineStr">
        <is>
          <t>Estimado del sheet</t>
        </is>
      </c>
      <c r="D51" s="30" t="inlineStr">
        <is>
          <t>Sin cotizar</t>
        </is>
      </c>
      <c r="E51" s="31" t="inlineStr">
        <is>
          <t>USD</t>
        </is>
      </c>
      <c r="F51" s="38" t="n"/>
      <c r="G51" s="34" t="n"/>
      <c r="H51" s="37">
        <f>IF(F51="","",F51*(1+N(G51)))</f>
        <v/>
      </c>
      <c r="I51" s="36" t="n">
        <v>1</v>
      </c>
      <c r="J51" s="37">
        <f>IF(OR(D51="Bonificado",D51="Reemplazado"),0,N(I51)*IF(H51="",N(K51),IF(E51="USD",H51,H51/TABLERO!$C$4)))</f>
        <v/>
      </c>
      <c r="K51" s="38" t="n">
        <v>500</v>
      </c>
      <c r="L51" s="37">
        <f>IF(D51="Alternativa","",J51-N(K51))</f>
        <v/>
      </c>
      <c r="M51" s="39" t="inlineStr">
        <is>
          <t>Hoja Argentina del master</t>
        </is>
      </c>
    </row>
    <row r="52" ht="42" customHeight="1">
      <c r="A52" s="30" t="inlineStr">
        <is>
          <t>Escoltas (2)</t>
        </is>
      </c>
      <c r="B52" s="31" t="inlineStr">
        <is>
          <t>A definir</t>
        </is>
      </c>
      <c r="C52" s="32" t="inlineStr">
        <is>
          <t>Estimado del sheet</t>
        </is>
      </c>
      <c r="D52" s="30" t="inlineStr">
        <is>
          <t>Sin cotizar</t>
        </is>
      </c>
      <c r="E52" s="31" t="inlineStr">
        <is>
          <t>USD</t>
        </is>
      </c>
      <c r="F52" s="38" t="n"/>
      <c r="G52" s="34" t="n"/>
      <c r="H52" s="37">
        <f>IF(F52="","",F52*(1+N(G52)))</f>
        <v/>
      </c>
      <c r="I52" s="36" t="n">
        <v>1</v>
      </c>
      <c r="J52" s="37">
        <f>IF(OR(D52="Bonificado",D52="Reemplazado"),0,N(I52)*IF(H52="",N(K52),IF(E52="USD",H52,H52/TABLERO!$C$4)))</f>
        <v/>
      </c>
      <c r="K52" s="38" t="n">
        <v>1000</v>
      </c>
      <c r="L52" s="37">
        <f>IF(D52="Alternativa","",J52-N(K52))</f>
        <v/>
      </c>
      <c r="M52" s="39" t="inlineStr">
        <is>
          <t>Hoja Argentina del master</t>
        </is>
      </c>
    </row>
    <row r="53" ht="42" customHeight="1">
      <c r="A53" s="30" t="inlineStr">
        <is>
          <t>Master Mind Hit</t>
        </is>
      </c>
      <c r="B53" s="31" t="inlineStr">
        <is>
          <t>A definir</t>
        </is>
      </c>
      <c r="C53" s="32" t="inlineStr">
        <is>
          <t>Sala adicional</t>
        </is>
      </c>
      <c r="D53" s="30" t="inlineStr">
        <is>
          <t>Sin cotizar</t>
        </is>
      </c>
      <c r="E53" s="31" t="inlineStr">
        <is>
          <t>USD</t>
        </is>
      </c>
      <c r="F53" s="38" t="n"/>
      <c r="G53" s="34" t="n"/>
      <c r="H53" s="37">
        <f>IF(F53="","",F53*(1+N(G53)))</f>
        <v/>
      </c>
      <c r="I53" s="36" t="n">
        <v>1</v>
      </c>
      <c r="J53" s="37">
        <f>IF(OR(D53="Bonificado",D53="Reemplazado"),0,N(I53)*IF(H53="",N(K53),IF(E53="USD",H53,H53/TABLERO!$C$4)))</f>
        <v/>
      </c>
      <c r="K53" s="38" t="n">
        <v>3000</v>
      </c>
      <c r="L53" s="37">
        <f>IF(D53="Alternativa","",J53-N(K53))</f>
        <v/>
      </c>
      <c r="M53" s="39" t="inlineStr">
        <is>
          <t>Hoja Argentina del master</t>
        </is>
      </c>
    </row>
    <row r="54" ht="42" customHeight="1">
      <c r="A54" s="30" t="inlineStr">
        <is>
          <t>Personal logístico</t>
        </is>
      </c>
      <c r="B54" s="31" t="inlineStr">
        <is>
          <t>A definir</t>
        </is>
      </c>
      <c r="C54" s="32" t="inlineStr">
        <is>
          <t>La hoja del master lo tiene en US$0</t>
        </is>
      </c>
      <c r="D54" s="30" t="inlineStr">
        <is>
          <t>Sin cotizar</t>
        </is>
      </c>
      <c r="E54" s="31" t="inlineStr">
        <is>
          <t>USD</t>
        </is>
      </c>
      <c r="F54" s="38" t="n"/>
      <c r="G54" s="34" t="n"/>
      <c r="H54" s="37">
        <f>IF(F54="","",F54*(1+N(G54)))</f>
        <v/>
      </c>
      <c r="I54" s="36" t="n">
        <v>1</v>
      </c>
      <c r="J54" s="37">
        <f>IF(OR(D54="Bonificado",D54="Reemplazado"),0,N(I54)*IF(H54="",N(K54),IF(E54="USD",H54,H54/TABLERO!$C$4)))</f>
        <v/>
      </c>
      <c r="K54" s="38" t="n"/>
      <c r="L54" s="37">
        <f>IF(D54="Alternativa","",J54-N(K54))</f>
        <v/>
      </c>
      <c r="M54" s="39" t="inlineStr">
        <is>
          <t>Hoja Argentina del master · valor en cero</t>
        </is>
      </c>
    </row>
    <row r="55" ht="42" customHeight="1">
      <c r="A55" s="9" t="inlineStr">
        <is>
          <t>Intercoms</t>
        </is>
      </c>
      <c r="B55" s="10" t="inlineStr">
        <is>
          <t>Proveedor a confirmar</t>
        </is>
      </c>
      <c r="C55" s="11" t="inlineStr">
        <is>
          <t>Ya comprados y pagados al 100%. El master los tenía en 2 cuotas al 24/08 y 23/09, sin abonar.</t>
        </is>
      </c>
      <c r="D55" s="9" t="inlineStr">
        <is>
          <t>Cerrado</t>
        </is>
      </c>
      <c r="E55" s="10" t="inlineStr">
        <is>
          <t>USD</t>
        </is>
      </c>
      <c r="F55" s="12" t="n">
        <v>560</v>
      </c>
      <c r="G55" s="13" t="n"/>
      <c r="H55" s="14">
        <f>IF(F55="","",F55*(1+N(G55)))</f>
        <v/>
      </c>
      <c r="I55" s="15" t="n">
        <v>1</v>
      </c>
      <c r="J55" s="14">
        <f>IF(OR(D55="Bonificado",D55="Reemplazado"),0,N(I55)*IF(H55="",N(K55),IF(E55="USD",H55,H55/TABLERO!$C$4)))</f>
        <v/>
      </c>
      <c r="K55" s="12" t="n"/>
      <c r="L55" s="14">
        <f>IF(D55="Alternativa","",J55-N(K55))</f>
        <v/>
      </c>
      <c r="M55" s="16" t="inlineStr">
        <is>
          <t>Confirmado por Agustina el 03/09</t>
        </is>
      </c>
    </row>
    <row r="56">
      <c r="A56" s="17" t="inlineStr">
        <is>
          <t>Subtotal Producción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9">
        <f>SUMIF($D$49:$D$55,"&lt;&gt;Alternativa",$J$49:$J$55)</f>
        <v/>
      </c>
      <c r="K56" s="19">
        <f>SUM($K$49:$K$55)</f>
        <v/>
      </c>
      <c r="L56" s="19">
        <f>J56-K56</f>
        <v/>
      </c>
      <c r="M56" s="18" t="n"/>
    </row>
    <row r="57" ht="20" customHeight="1">
      <c r="A57" s="7" t="inlineStr">
        <is>
          <t>EQUIPO</t>
        </is>
      </c>
    </row>
    <row r="58" ht="42" customHeight="1">
      <c r="A58" s="30" t="inlineStr">
        <is>
          <t>Vuelos del equipo</t>
        </is>
      </c>
      <c r="B58" s="31" t="inlineStr">
        <is>
          <t>Sin cotizar</t>
        </is>
      </c>
      <c r="C58" s="32" t="inlineStr">
        <is>
          <t>No hay ninguna cotización de vuelos a Buenos Aires en el correo ni monto en la hoja del master</t>
        </is>
      </c>
      <c r="D58" s="30" t="inlineStr">
        <is>
          <t>Sin cotizar</t>
        </is>
      </c>
      <c r="E58" s="31" t="inlineStr">
        <is>
          <t>USD</t>
        </is>
      </c>
      <c r="F58" s="38" t="n"/>
      <c r="G58" s="34" t="n"/>
      <c r="H58" s="37">
        <f>IF(F58="","",F58*(1+N(G58)))</f>
        <v/>
      </c>
      <c r="I58" s="36" t="n">
        <v>1</v>
      </c>
      <c r="J58" s="37">
        <f>IF(OR(D58="Bonificado",D58="Reemplazado"),0,N(I58)*IF(H58="",N(K58),IF(E58="USD",H58,H58/TABLERO!$C$4)))</f>
        <v/>
      </c>
      <c r="K58" s="38" t="n"/>
      <c r="L58" s="37">
        <f>IF(D58="Alternativa","",J58-N(K58))</f>
        <v/>
      </c>
      <c r="M58" s="39" t="inlineStr">
        <is>
          <t>No encontrado</t>
        </is>
      </c>
    </row>
    <row r="59" ht="42" customHeight="1">
      <c r="A59" s="30" t="inlineStr">
        <is>
          <t>Alojamiento del equipo</t>
        </is>
      </c>
      <c r="B59" s="31" t="inlineStr">
        <is>
          <t>Sin cotizar</t>
        </is>
      </c>
      <c r="C59" s="32" t="inlineStr">
        <is>
          <t>No hay cotización de hotel en Buenos Aires en el correo ni monto en la hoja del master</t>
        </is>
      </c>
      <c r="D59" s="30" t="inlineStr">
        <is>
          <t>Sin cotizar</t>
        </is>
      </c>
      <c r="E59" s="31" t="inlineStr">
        <is>
          <t>USD</t>
        </is>
      </c>
      <c r="F59" s="38" t="n"/>
      <c r="G59" s="34" t="n"/>
      <c r="H59" s="37">
        <f>IF(F59="","",F59*(1+N(G59)))</f>
        <v/>
      </c>
      <c r="I59" s="36" t="n">
        <v>1</v>
      </c>
      <c r="J59" s="37">
        <f>IF(OR(D59="Bonificado",D59="Reemplazado"),0,N(I59)*IF(H59="",N(K59),IF(E59="USD",H59,H59/TABLERO!$C$4)))</f>
        <v/>
      </c>
      <c r="K59" s="38" t="n"/>
      <c r="L59" s="37">
        <f>IF(D59="Alternativa","",J59-N(K59))</f>
        <v/>
      </c>
      <c r="M59" s="39" t="inlineStr">
        <is>
          <t>No encontrado</t>
        </is>
      </c>
    </row>
    <row r="60" ht="42" customHeight="1">
      <c r="A60" s="30" t="inlineStr">
        <is>
          <t>Traslados internos y viáticos</t>
        </is>
      </c>
      <c r="B60" s="31" t="inlineStr">
        <is>
          <t>Sin cotizar</t>
        </is>
      </c>
      <c r="C60" s="32" t="inlineStr">
        <is>
          <t>Sin registro</t>
        </is>
      </c>
      <c r="D60" s="30" t="inlineStr">
        <is>
          <t>Sin cotizar</t>
        </is>
      </c>
      <c r="E60" s="31" t="inlineStr">
        <is>
          <t>USD</t>
        </is>
      </c>
      <c r="F60" s="38" t="n"/>
      <c r="G60" s="34" t="n"/>
      <c r="H60" s="37">
        <f>IF(F60="","",F60*(1+N(G60)))</f>
        <v/>
      </c>
      <c r="I60" s="36" t="n">
        <v>1</v>
      </c>
      <c r="J60" s="37">
        <f>IF(OR(D60="Bonificado",D60="Reemplazado"),0,N(I60)*IF(H60="",N(K60),IF(E60="USD",H60,H60/TABLERO!$C$4)))</f>
        <v/>
      </c>
      <c r="K60" s="38" t="n"/>
      <c r="L60" s="37">
        <f>IF(D60="Alternativa","",J60-N(K60))</f>
        <v/>
      </c>
      <c r="M60" s="39" t="inlineStr">
        <is>
          <t>No encontrado</t>
        </is>
      </c>
    </row>
    <row r="61">
      <c r="A61" s="17" t="inlineStr">
        <is>
          <t>Subtotal Equipo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9">
        <f>SUMIF($D$58:$D$60,"&lt;&gt;Alternativa",$J$58:$J$60)</f>
        <v/>
      </c>
      <c r="K61" s="19">
        <f>SUM($K$58:$K$60)</f>
        <v/>
      </c>
      <c r="L61" s="19">
        <f>J61-K61</f>
        <v/>
      </c>
      <c r="M61" s="18" t="n"/>
    </row>
    <row r="63">
      <c r="A63" s="52" t="inlineStr">
        <is>
          <t>COSTO TOTAL DEL EVENTO</t>
        </is>
      </c>
      <c r="J63" s="53">
        <f>J7+J10+J15+J21+J30+J43+J47+J56+J61</f>
        <v/>
      </c>
      <c r="K63" s="53">
        <f>K7+K10+K15+K21+K30+K43+K47+K56+K61</f>
        <v/>
      </c>
      <c r="L63" s="53">
        <f>L7+L10+L15+L21+L30+L43+L47+L56+L61</f>
        <v/>
      </c>
    </row>
  </sheetData>
  <autoFilter ref="A4:M4"/>
  <mergeCells count="9">
    <mergeCell ref="A44:M44"/>
    <mergeCell ref="A5:M5"/>
    <mergeCell ref="A31:M31"/>
    <mergeCell ref="A8:M8"/>
    <mergeCell ref="A22:M22"/>
    <mergeCell ref="A48:M48"/>
    <mergeCell ref="A57:M57"/>
    <mergeCell ref="A16:M16"/>
    <mergeCell ref="A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76" customWidth="1" min="5" max="5"/>
  </cols>
  <sheetData>
    <row r="1">
      <c r="A1" s="1" t="inlineStr">
        <is>
          <t>Argentina en una pantalla</t>
        </is>
      </c>
    </row>
    <row r="2">
      <c r="A2" s="2" t="inlineStr">
        <is>
          <t>La Rural · Pabellón Azul · 3 y 4 de octubre de 2026</t>
        </is>
      </c>
    </row>
    <row r="4">
      <c r="A4" s="3" t="inlineStr">
        <is>
          <t>Tipo de cambio (ARS por USD)</t>
        </is>
      </c>
      <c r="C4" s="54" t="n">
        <v>1510</v>
      </c>
      <c r="E4" s="2" t="inlineStr">
        <is>
          <t>Dólar con el que trabaja Agustina. Verificado contra dos de sus cifras: $900.000 de montaje = US$596 y $24.500.000 de entelado = US$16.225. Editá esta celda y se recalcula todo el libro.</t>
        </is>
      </c>
    </row>
    <row r="6">
      <c r="A6" s="55" t="inlineStr">
        <is>
          <t>COSTO DEL EVENTO</t>
        </is>
      </c>
    </row>
    <row r="7">
      <c r="A7" s="5" t="inlineStr">
        <is>
          <t>Costo total (cotizaciones reales + estimados)</t>
        </is>
      </c>
      <c r="C7" s="56">
        <f>'COSTOS UNIFICADOS'!J63</f>
        <v/>
      </c>
      <c r="E7" s="2" t="inlineStr">
        <is>
          <t>Suma de contratado, cotizado y lo que sólo tiene estimado. No incluye las alternativas descartadas.</t>
        </is>
      </c>
    </row>
    <row r="8">
      <c r="A8" s="5" t="inlineStr">
        <is>
          <t>Lo que decía el presupuesto original</t>
        </is>
      </c>
      <c r="C8" s="56">
        <f>'COSTOS UNIFICADOS'!K63</f>
        <v/>
      </c>
      <c r="E8" s="2" t="inlineStr">
        <is>
          <t>Total de la hoja "Argentina (3 oct-4 oct)" del master: US$176.159.</t>
        </is>
      </c>
    </row>
    <row r="9">
      <c r="A9" s="5" t="inlineStr">
        <is>
          <t>Diferencia contra el presupuesto</t>
        </is>
      </c>
      <c r="C9" s="57">
        <f>'COSTOS UNIFICADOS'!L63</f>
        <v/>
      </c>
      <c r="E9" s="2" t="inlineStr">
        <is>
          <t>Cuánto se corre el evento respecto de lo presupuestado, con los precios que hoy están sobre la mesa.</t>
        </is>
      </c>
    </row>
    <row r="11">
      <c r="A11" s="55" t="inlineStr">
        <is>
          <t>COSTO POR PERSONA</t>
        </is>
      </c>
    </row>
    <row r="12">
      <c r="A12" s="58" t="inlineStr">
        <is>
          <t>Base de cálculo</t>
        </is>
      </c>
      <c r="B12" s="58" t="inlineStr">
        <is>
          <t>Personas</t>
        </is>
      </c>
      <c r="C12" s="58" t="inlineStr">
        <is>
          <t>Costo por persona</t>
        </is>
      </c>
      <c r="E12" s="58" t="inlineStr">
        <is>
          <t>Qué incluye</t>
        </is>
      </c>
    </row>
    <row r="13">
      <c r="A13" s="59" t="inlineStr">
        <is>
          <t>Aforo general</t>
        </is>
      </c>
      <c r="B13" s="60" t="n">
        <v>5000</v>
      </c>
      <c r="C13" s="61">
        <f>IFERROR($C$7/B13,"")</f>
        <v/>
      </c>
      <c r="E13" s="2" t="inlineStr">
        <is>
          <t>Asistentes de entrada general según la hoja del master.</t>
        </is>
      </c>
    </row>
    <row r="14">
      <c r="A14" s="59" t="inlineStr">
        <is>
          <t>VIP</t>
        </is>
      </c>
      <c r="B14" s="60" t="n">
        <v>1000</v>
      </c>
      <c r="C14" s="61">
        <f>IFERROR($C$7/B14,"")</f>
        <v/>
      </c>
      <c r="E14" s="2" t="inlineStr">
        <is>
          <t>Asistentes VIP.</t>
        </is>
      </c>
    </row>
    <row r="15">
      <c r="A15" s="59" t="inlineStr">
        <is>
          <t>Asistentes pagos (general + VIP)</t>
        </is>
      </c>
      <c r="B15" s="60" t="n">
        <v>6000</v>
      </c>
      <c r="C15" s="61">
        <f>IFERROR($C$7/B15,"")</f>
        <v/>
      </c>
      <c r="E15" s="2" t="inlineStr">
        <is>
          <t>La base más útil para decidir el precio de la entrada.</t>
        </is>
      </c>
    </row>
    <row r="16">
      <c r="A16" s="59" t="inlineStr">
        <is>
          <t>Mastermind del martes</t>
        </is>
      </c>
      <c r="B16" s="60" t="n">
        <v>246</v>
      </c>
      <c r="C16" s="61">
        <f>IFERROR($C$7/B16,"")</f>
        <v/>
      </c>
      <c r="E16" s="2" t="inlineStr">
        <is>
          <t>Actividad aparte, no comparte la mayoría de los costos.</t>
        </is>
      </c>
    </row>
    <row r="17">
      <c r="A17" s="59" t="inlineStr">
        <is>
          <t>Total de personas en el predio</t>
        </is>
      </c>
      <c r="B17" s="60" t="n">
        <v>6108</v>
      </c>
      <c r="C17" s="61">
        <f>IFERROR($C$7/B17,"")</f>
        <v/>
      </c>
      <c r="E17" s="2" t="inlineStr">
        <is>
          <t>Asistentes pagos + 100 de staff + 8 del equipo interno.</t>
        </is>
      </c>
    </row>
    <row r="18">
      <c r="A18" s="2" t="inlineStr">
        <is>
          <t>Las bases en amarillo son editables: cambiá el aforo y el costo por cabeza se recalcula.</t>
        </is>
      </c>
    </row>
    <row r="20">
      <c r="A20" s="55" t="inlineStr">
        <is>
          <t>ESTADO DE LOS RUBROS</t>
        </is>
      </c>
    </row>
    <row r="21">
      <c r="A21" s="5" t="inlineStr">
        <is>
          <t>Contratado (hay contrato o anticipo)</t>
        </is>
      </c>
      <c r="C21" s="62">
        <f>SUMIF('COSTOS UNIFICADOS'!$D:$D,"Contratado",'COSTOS UNIFICADOS'!$J:$J)</f>
        <v/>
      </c>
      <c r="E21" s="2" t="inlineStr">
        <is>
          <t>Sede, las nueve facturas de merch e intercoms.</t>
        </is>
      </c>
    </row>
    <row r="22">
      <c r="A22" s="5" t="inlineStr">
        <is>
          <t>Cotizado (hay presupuesto formal)</t>
        </is>
      </c>
      <c r="C22" s="56">
        <f>SUMIF('COSTOS UNIFICADOS'!$D:$D,"Cotizado",'COSTOS UNIFICADOS'!$J:$J)</f>
        <v/>
      </c>
      <c r="E22" s="2" t="inlineStr">
        <is>
          <t>Sillas, WiFi, seguridad, servicio médico, limpieza, retiro de residuos y seguro.</t>
        </is>
      </c>
    </row>
    <row r="23">
      <c r="A23" s="5" t="inlineStr">
        <is>
          <t>Sin cotizar (sólo estimado o nada)</t>
        </is>
      </c>
      <c r="C23" s="63">
        <f>SUMIF('COSTOS UNIFICADOS'!$D:$D,"Sin cotizar",'COSTOS UNIFICADOS'!$J:$J)</f>
        <v/>
      </c>
      <c r="E23" s="2" t="inlineStr">
        <is>
          <t>Vuelos, alojamiento, ecobaños, marquetería, replanteo, unifilas, DJ, escoltas, Master Mind, personal logístico.</t>
        </is>
      </c>
    </row>
    <row r="24">
      <c r="A24" s="2" t="inlineStr">
        <is>
          <t>Alternativas descartadas (no suman)</t>
        </is>
      </c>
      <c r="C24" s="64">
        <f>SUMIF('COSTOS UNIFICADOS'!$D:$D,"Alternativa",'COSTOS UNIFICADOS'!$J:$J)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5" customWidth="1" min="3" max="3"/>
    <col width="14" customWidth="1" min="4" max="4"/>
    <col width="14" customWidth="1" min="5" max="5"/>
    <col width="58" customWidth="1" min="6" max="6"/>
  </cols>
  <sheetData>
    <row r="1">
      <c r="A1" s="1" t="inlineStr">
        <is>
          <t>Cuánto se pagó, cuánto falta y cuándo</t>
        </is>
      </c>
    </row>
    <row r="2">
      <c r="A2" s="2" t="inlineStr">
        <is>
          <t>Sólo lo que está documentado. Lo que no tiene fecha acordada va abajo, en el resto.</t>
        </is>
      </c>
    </row>
    <row r="4">
      <c r="A4" s="6" t="inlineStr">
        <is>
          <t>Bloque</t>
        </is>
      </c>
      <c r="B4" s="6" t="inlineStr">
        <is>
          <t>Concepto</t>
        </is>
      </c>
      <c r="C4" s="6" t="inlineStr">
        <is>
          <t>Fecha</t>
        </is>
      </c>
      <c r="D4" s="6" t="inlineStr">
        <is>
          <t>USD</t>
        </is>
      </c>
      <c r="E4" s="6" t="inlineStr">
        <is>
          <t>Estado</t>
        </is>
      </c>
      <c r="F4" s="6" t="inlineStr">
        <is>
          <t>De dónde sale</t>
        </is>
      </c>
    </row>
    <row r="5" ht="20" customHeight="1">
      <c r="A5" s="7" t="inlineStr">
        <is>
          <t>YA PAGADO</t>
        </is>
      </c>
    </row>
    <row r="6">
      <c r="A6" s="99" t="inlineStr">
        <is>
          <t>Sede</t>
        </is>
      </c>
      <c r="B6" s="81" t="inlineStr">
        <is>
          <t>La Rural — anticipo del contrato</t>
        </is>
      </c>
      <c r="C6" s="100" t="inlineStr">
        <is>
          <t>27/04/2026</t>
        </is>
      </c>
      <c r="D6" s="91" t="n">
        <v>43446</v>
      </c>
      <c r="E6" s="81" t="inlineStr">
        <is>
          <t>Pagado</t>
        </is>
      </c>
      <c r="F6" s="99" t="inlineStr">
        <is>
          <t>Hoja PAGOS del master</t>
        </is>
      </c>
    </row>
    <row r="7">
      <c r="A7" s="99" t="inlineStr">
        <is>
          <t>Producción</t>
        </is>
      </c>
      <c r="B7" s="81" t="inlineStr">
        <is>
          <t>Intercoms — 100%</t>
        </is>
      </c>
      <c r="C7" s="100" t="inlineStr">
        <is>
          <t>ya comprados</t>
        </is>
      </c>
      <c r="D7" s="91" t="n">
        <v>560</v>
      </c>
      <c r="E7" s="81" t="inlineStr">
        <is>
          <t>Pagado</t>
        </is>
      </c>
      <c r="F7" s="99" t="inlineStr">
        <is>
          <t>Confirmado por Agustina el 03/09</t>
        </is>
      </c>
    </row>
    <row r="8">
      <c r="A8" s="99" t="inlineStr">
        <is>
          <t>Técnica</t>
        </is>
      </c>
      <c r="B8" s="81" t="inlineStr">
        <is>
          <t>Grupo MET — factura INV-11</t>
        </is>
      </c>
      <c r="C8" s="100" t="inlineStr">
        <is>
          <t>31/07/2026</t>
        </is>
      </c>
      <c r="D8" s="91" t="n">
        <v>5000</v>
      </c>
      <c r="E8" s="81" t="inlineStr">
        <is>
          <t>Pagado</t>
        </is>
      </c>
      <c r="F8" s="99" t="inlineStr">
        <is>
          <t>Recibo de Mercury del 31/07</t>
        </is>
      </c>
    </row>
    <row r="9">
      <c r="A9" s="99" t="inlineStr">
        <is>
          <t>Merch</t>
        </is>
      </c>
      <c r="B9" s="81" t="inlineStr">
        <is>
          <t>Pañuelos — 50% (parte Argentina)</t>
        </is>
      </c>
      <c r="C9" s="100" t="inlineStr">
        <is>
          <t>24/06/2026</t>
        </is>
      </c>
      <c r="D9" s="91" t="n">
        <v>3569.15</v>
      </c>
      <c r="E9" s="81" t="inlineStr">
        <is>
          <t>Pagado</t>
        </is>
      </c>
      <c r="F9" s="99" t="inlineStr">
        <is>
          <t>Master: 50% de US$10.982, imputado al 65%</t>
        </is>
      </c>
    </row>
    <row r="10">
      <c r="A10" s="99" t="inlineStr">
        <is>
          <t>Merch</t>
        </is>
      </c>
      <c r="B10" s="81" t="inlineStr">
        <is>
          <t>Gorras — 100%</t>
        </is>
      </c>
      <c r="C10" s="100" t="inlineStr">
        <is>
          <t>25/06/2026</t>
        </is>
      </c>
      <c r="D10" s="91" t="n">
        <v>1825</v>
      </c>
      <c r="E10" s="81" t="inlineStr">
        <is>
          <t>Pagado</t>
        </is>
      </c>
      <c r="F10" s="99" t="inlineStr">
        <is>
          <t>Factura 2601009 de Textil Ryu</t>
        </is>
      </c>
    </row>
    <row r="11">
      <c r="A11" s="99" t="inlineStr">
        <is>
          <t>Merch</t>
        </is>
      </c>
      <c r="B11" s="81" t="inlineStr">
        <is>
          <t>Lanyards — 50%</t>
        </is>
      </c>
      <c r="C11" s="100" t="inlineStr">
        <is>
          <t>25/06/2026</t>
        </is>
      </c>
      <c r="D11" s="91" t="n">
        <v>849</v>
      </c>
      <c r="E11" s="81" t="inlineStr">
        <is>
          <t>Pagado</t>
        </is>
      </c>
      <c r="F11" s="99" t="inlineStr">
        <is>
          <t>Hoja PAGOS del master</t>
        </is>
      </c>
    </row>
    <row r="12">
      <c r="A12" s="99" t="inlineStr">
        <is>
          <t>Merch</t>
        </is>
      </c>
      <c r="B12" s="81" t="inlineStr">
        <is>
          <t>Gráfica Argentina — anticipo</t>
        </is>
      </c>
      <c r="C12" s="100" t="inlineStr">
        <is>
          <t>25/06/2026</t>
        </is>
      </c>
      <c r="D12" s="91" t="n">
        <v>642</v>
      </c>
      <c r="E12" s="81" t="inlineStr">
        <is>
          <t>Pagado</t>
        </is>
      </c>
      <c r="F12" s="99" t="inlineStr">
        <is>
          <t>Master: total US$2.481, saldo US$1.839</t>
        </is>
      </c>
    </row>
    <row r="13">
      <c r="A13" s="18" t="n"/>
      <c r="B13" s="17" t="inlineStr">
        <is>
          <t>Pagado a hoy</t>
        </is>
      </c>
      <c r="C13" s="18" t="n"/>
      <c r="D13" s="19">
        <f>SUM(D6:D12)</f>
        <v/>
      </c>
      <c r="E13" s="18" t="n"/>
      <c r="F13" s="18" t="n"/>
    </row>
    <row r="15" ht="20" customHeight="1">
      <c r="A15" s="7" t="inlineStr">
        <is>
          <t>FALTA PAGAR · CON FECHA</t>
        </is>
      </c>
    </row>
    <row r="16">
      <c r="A16" s="101" t="inlineStr">
        <is>
          <t>Sede</t>
        </is>
      </c>
      <c r="B16" s="85" t="inlineStr">
        <is>
          <t>La Rural — saldo, cuota 1 de 2</t>
        </is>
      </c>
      <c r="C16" s="102" t="inlineStr">
        <is>
          <t>24/08/2026</t>
        </is>
      </c>
      <c r="D16" s="103" t="n">
        <v>15777</v>
      </c>
      <c r="E16" s="104" t="inlineStr">
        <is>
          <t>VENCIDA</t>
        </is>
      </c>
      <c r="F16" s="101" t="inlineStr">
        <is>
          <t>Cronograma del master</t>
        </is>
      </c>
    </row>
    <row r="17">
      <c r="A17" s="101" t="inlineStr">
        <is>
          <t>Merch</t>
        </is>
      </c>
      <c r="B17" s="85" t="inlineStr">
        <is>
          <t>Remeras (250)</t>
        </is>
      </c>
      <c r="C17" s="102" t="inlineStr">
        <is>
          <t>ya facturado</t>
        </is>
      </c>
      <c r="D17" s="103" t="n">
        <v>2780.64</v>
      </c>
      <c r="E17" s="104" t="inlineStr">
        <is>
          <t>SIN PAGAR</t>
        </is>
      </c>
      <c r="F17" s="101" t="inlineStr">
        <is>
          <t>Factura 2601017 del 16/08 · NO figura en el master</t>
        </is>
      </c>
    </row>
    <row r="18">
      <c r="A18" s="101" t="inlineStr">
        <is>
          <t>Merch</t>
        </is>
      </c>
      <c r="B18" s="85" t="inlineStr">
        <is>
          <t>Bordado de gorras (940)</t>
        </is>
      </c>
      <c r="C18" s="102" t="inlineStr">
        <is>
          <t>ya facturado</t>
        </is>
      </c>
      <c r="D18" s="103" t="n">
        <v>1721.95</v>
      </c>
      <c r="E18" s="104" t="inlineStr">
        <is>
          <t>SIN PAGAR</t>
        </is>
      </c>
      <c r="F18" s="101" t="inlineStr">
        <is>
          <t>Factura 2601016 del 10/08 · NO figura en el master</t>
        </is>
      </c>
    </row>
    <row r="19">
      <c r="A19" s="105" t="inlineStr">
        <is>
          <t>Merch</t>
        </is>
      </c>
      <c r="B19" s="59" t="inlineStr">
        <is>
          <t>Pañuelos — saldo (parte Argentina)</t>
        </is>
      </c>
      <c r="C19" s="106" t="inlineStr">
        <is>
          <t>13/09/2026</t>
        </is>
      </c>
      <c r="D19" s="107" t="n">
        <v>3429.73</v>
      </c>
      <c r="E19" s="89" t="inlineStr">
        <is>
          <t>Programado</t>
        </is>
      </c>
      <c r="F19" s="105" t="inlineStr">
        <is>
          <t>Factura 2601019 · 65% de 5.276,51 USDT</t>
        </is>
      </c>
    </row>
    <row r="20">
      <c r="A20" s="105" t="inlineStr">
        <is>
          <t>Merch</t>
        </is>
      </c>
      <c r="B20" s="59" t="inlineStr">
        <is>
          <t>Gráfica Argentina — saldo</t>
        </is>
      </c>
      <c r="C20" s="106" t="inlineStr">
        <is>
          <t>13/09/2026</t>
        </is>
      </c>
      <c r="D20" s="107" t="n">
        <v>1192.37</v>
      </c>
      <c r="E20" s="89" t="inlineStr">
        <is>
          <t>Programado</t>
        </is>
      </c>
      <c r="F20" s="105" t="inlineStr">
        <is>
          <t>Master. La factura 2601014 viene por el total: a confirmar</t>
        </is>
      </c>
    </row>
    <row r="21">
      <c r="A21" s="105" t="inlineStr">
        <is>
          <t>Merch</t>
        </is>
      </c>
      <c r="B21" s="59" t="inlineStr">
        <is>
          <t>Lanyards — saldo</t>
        </is>
      </c>
      <c r="C21" s="106" t="inlineStr">
        <is>
          <t>13/09/2026</t>
        </is>
      </c>
      <c r="D21" s="107" t="n">
        <v>816.1</v>
      </c>
      <c r="E21" s="89" t="inlineStr">
        <is>
          <t>Programado</t>
        </is>
      </c>
      <c r="F21" s="105" t="inlineStr">
        <is>
          <t>Master. La factura 2601018 viene por el total: a confirmar</t>
        </is>
      </c>
    </row>
    <row r="22">
      <c r="A22" s="105" t="inlineStr">
        <is>
          <t>Sede</t>
        </is>
      </c>
      <c r="B22" s="59" t="inlineStr">
        <is>
          <t>La Rural — saldo, cuota 2 de 2</t>
        </is>
      </c>
      <c r="C22" s="106" t="inlineStr">
        <is>
          <t>23/09/2026</t>
        </is>
      </c>
      <c r="D22" s="107" t="n">
        <v>15777</v>
      </c>
      <c r="E22" s="89" t="inlineStr">
        <is>
          <t>Programado</t>
        </is>
      </c>
      <c r="F22" s="105" t="inlineStr">
        <is>
          <t>Cronograma del master</t>
        </is>
      </c>
    </row>
    <row r="23">
      <c r="A23" s="18" t="n"/>
      <c r="B23" s="17" t="inlineStr">
        <is>
          <t>Comprometido con fecha</t>
        </is>
      </c>
      <c r="C23" s="18" t="n"/>
      <c r="D23" s="19">
        <f>SUM(D16:D22)</f>
        <v/>
      </c>
      <c r="E23" s="18" t="n"/>
      <c r="F23" s="18" t="n"/>
    </row>
    <row r="24">
      <c r="B24" s="2" t="inlineStr">
        <is>
          <t>De eso, vencido o facturado sin pagar</t>
        </is>
      </c>
      <c r="D24" s="103">
        <f>SUMIF(E16:E22,"VENCIDA",D16:D22)+SUMIF(E16:E22,"SIN PAGAR",D16:D22)</f>
        <v/>
      </c>
    </row>
    <row r="26" ht="20" customHeight="1">
      <c r="A26" s="7" t="inlineStr">
        <is>
          <t>RESUMEN</t>
        </is>
      </c>
    </row>
    <row r="27">
      <c r="B27" s="3" t="inlineStr">
        <is>
          <t>Costo total del evento</t>
        </is>
      </c>
      <c r="D27" s="108">
        <f>'COSTOS UNIFICADOS'!J63</f>
        <v/>
      </c>
    </row>
    <row r="28">
      <c r="B28" s="3" t="inlineStr">
        <is>
          <t>Ya pagado</t>
        </is>
      </c>
      <c r="D28" s="109">
        <f>D13</f>
        <v/>
      </c>
    </row>
    <row r="29">
      <c r="B29" s="3" t="inlineStr">
        <is>
          <t>Falta desembolsar</t>
        </is>
      </c>
      <c r="D29" s="110">
        <f>'COSTOS UNIFICADOS'!J63-D13</f>
        <v/>
      </c>
    </row>
    <row r="30">
      <c r="B30" s="5" t="inlineStr">
        <is>
          <t xml:space="preserve">   de eso, con fecha acordada</t>
        </is>
      </c>
      <c r="D30" s="111">
        <f>D23</f>
        <v/>
      </c>
    </row>
    <row r="31">
      <c r="B31" s="5" t="inlineStr">
        <is>
          <t xml:space="preserve">   de eso, todavía sin fecha</t>
        </is>
      </c>
      <c r="D31" s="111">
        <f>'COSTOS UNIFICADOS'!J63-D13-D23</f>
        <v/>
      </c>
    </row>
    <row r="33">
      <c r="B33" s="2" t="inlineStr">
        <is>
          <t>Las remeras y el bordado de gorras están facturados desde agosto y no figuran en el cronograma del master: son US$4.503 que hoy no están en ningún calendario.</t>
        </is>
      </c>
    </row>
    <row r="34">
      <c r="B34" s="2" t="inlineStr">
        <is>
          <t>El resto sin fecha son los rubros cerrados y cotizados que todavía no tienen forma de pago acordada: técnica, entelado, CCTV, catering, sillas y los servicios del predio.</t>
        </is>
      </c>
    </row>
    <row r="35">
      <c r="B35" s="2" t="inlineStr">
        <is>
          <t>Las facturas reemitidas de LEOTEX y Derqui vienen por el total aunque el master registra el 50% abonado. Acá se tomó la regla del 50%: si las facturas están bien, son US$2.008 más.</t>
        </is>
      </c>
    </row>
  </sheetData>
  <mergeCells count="3">
    <mergeCell ref="A26:F26"/>
    <mergeCell ref="A5:F5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2026-09-03T15:41:11Z</dcterms:created>
  <dcterms:modified xsi:type="dcterms:W3CDTF">2026-09-03T20:03:12Z</dcterms:modified>
</cp:coreProperties>
</file>