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OS UNIFICADOS" sheetId="1" state="visible" r:id="rId1"/>
    <sheet name="TABLERO" sheetId="2" state="visible" r:id="rId2"/>
    <sheet name="PAGOS" sheetId="3" state="visible" r:id="rId3"/>
  </sheets>
  <definedNames>
    <definedName name="_xlnm._FilterDatabase" localSheetId="0" hidden="1">'COSTOS UNIFICADOS'!$A$4:$M$4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</row>
    <row r="49" ht="42" customHeight="1">
      <c r="A49" s="42" t="inlineStr">
        <is>
          <t>Vallado (500 vallas)</t>
        </is>
      </c>
      <c r="B49" s="43" t="inlineStr">
        <is>
          <t>Bonificado por técnica</t>
        </is>
      </c>
      <c r="C49" s="44" t="inlineStr">
        <is>
          <t>Las 500 vallas las regala el proveedor de técnica. Estaban presupuestadas en US$1.250.</t>
        </is>
      </c>
      <c r="D49" s="42" t="inlineStr">
        <is>
          <t>Bonificado</t>
        </is>
      </c>
      <c r="E49" s="43" t="inlineStr">
        <is>
          <t>USD</t>
        </is>
      </c>
      <c r="F49" s="45" t="n"/>
      <c r="G49" s="46" t="n"/>
      <c r="H49" s="47">
        <f>IF(F49="","",F49*(1+N(G49)))</f>
        <v/>
      </c>
      <c r="I49" s="48" t="n">
        <v>1</v>
      </c>
      <c r="J49" s="47">
        <f>IF(OR(D49="Bonificado",D49="Reemplazado"),0,N(I49)*IF(H49="",N(K49),IF(E49="USD",H49,H49/TABLERO!$C$4)))</f>
        <v/>
      </c>
      <c r="K49" s="45" t="n">
        <v>1250</v>
      </c>
      <c r="L49" s="47">
        <f>IF(D49="Alternativa","",J49-N(K49))</f>
        <v/>
      </c>
      <c r="M49" s="49" t="inlineStr">
        <is>
          <t>Negociación de Agustina</t>
        </is>
      </c>
    </row>
    <row r="50" ht="42" customHeight="1">
      <c r="A50" s="9" t="inlineStr">
        <is>
          <t>Intercoms</t>
        </is>
      </c>
      <c r="B50" s="10" t="inlineStr">
        <is>
          <t>Proveedor a confirmar</t>
        </is>
      </c>
      <c r="C50" s="11" t="inlineStr">
        <is>
          <t>Ya comprados y pagados al 100%. El master los tenía en 2 cuotas al 24/08 y 23/09, sin abonar.</t>
        </is>
      </c>
      <c r="D50" s="9" t="inlineStr">
        <is>
          <t>Cerrado</t>
        </is>
      </c>
      <c r="E50" s="10" t="inlineStr">
        <is>
          <t>USD</t>
        </is>
      </c>
      <c r="F50" s="12" t="n">
        <v>560</v>
      </c>
      <c r="G50" s="13" t="n"/>
      <c r="H50" s="14">
        <f>IF(F50="","",F50*(1+N(G50)))</f>
        <v/>
      </c>
      <c r="I50" s="15" t="n">
        <v>1</v>
      </c>
      <c r="J50" s="14">
        <f>IF(OR(D50="Bonificado",D50="Reemplazado"),0,N(I50)*IF(H50="",N(K50),IF(E50="USD",H50,H50/TABLERO!$C$4)))</f>
        <v/>
      </c>
      <c r="K50" s="12" t="n"/>
      <c r="L50" s="14">
        <f>IF(D50="Alternativa","",J50-N(K50))</f>
        <v/>
      </c>
      <c r="M50" s="16" t="inlineStr">
        <is>
          <t>Confirmado por Agustina el 03/09</t>
        </is>
      </c>
    </row>
    <row r="51">
      <c r="A51" s="17" t="inlineStr">
        <is>
          <t>Subtotal Producción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J51" s="19">
        <f>SUMIF($D$49:$D$50,"&lt;&gt;Alternativa",$J$49:$J$50)</f>
        <v/>
      </c>
      <c r="K51" s="19">
        <f>SUM($K$49:$K$50)</f>
        <v/>
      </c>
      <c r="L51" s="19">
        <f>J51-K51</f>
        <v/>
      </c>
      <c r="M51" s="18" t="n"/>
    </row>
    <row r="53">
      <c r="A53" s="52" t="inlineStr">
        <is>
          <t>COSTO TOTAL DEL EVENTO</t>
        </is>
      </c>
      <c r="J53" s="53">
        <f>J7+J10+J15+J21+J30+J43+J47+J51</f>
        <v/>
      </c>
      <c r="K53" s="53">
        <f>K7+K10+K15+K21+K30+K43+K47+K51</f>
        <v/>
      </c>
      <c r="L53" s="53">
        <f>L7+L10+L15+L21+L30+L43+L47+L51</f>
        <v/>
      </c>
    </row>
  </sheetData>
  <autoFilter ref="A4:M4"/>
  <mergeCells count="8">
    <mergeCell ref="A44:M44"/>
    <mergeCell ref="A5:M5"/>
    <mergeCell ref="A31:M31"/>
    <mergeCell ref="A8:M8"/>
    <mergeCell ref="A22:M22"/>
    <mergeCell ref="A48:M48"/>
    <mergeCell ref="A16:M16"/>
    <mergeCell ref="A11:M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</row>
    <row r="27">
      <c r="B27" s="3" t="inlineStr">
        <is>
          <t>Costo total del evento</t>
        </is>
      </c>
      <c r="D27" s="108">
        <f>'COSTOS UNIFICADOS'!J53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UNIFICADOS'!J53-D13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UNIFICADOS'!J53-D13-D23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2026-09-04T00:49:55Z</dcterms:created>
  <dcterms:modified xsi:type="dcterms:W3CDTF">2026-09-04T00:49:56Z</dcterms:modified>
</cp:coreProperties>
</file>