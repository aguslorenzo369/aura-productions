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  <sheet name="CONTACTOS" sheetId="2" state="visible" r:id="rId2"/>
    <sheet name="RESUMEN" sheetId="3" state="visible" r:id="rId3"/>
  </sheets>
  <definedNames>
    <definedName name="_xlnm._FilterDatabase" localSheetId="0" hidden="1">'CHECKLIST'!$A$7:$J$42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$&quot;#,##0;(&quot;US$&quot;#,##0);-"/>
    <numFmt numFmtId="165" formatCode="&quot;US$&quot;#,##0.00;(&quot;US$&quot;#,##0.00);-"/>
    <numFmt numFmtId="166" formatCode="0.0%"/>
  </numFmts>
  <fonts count="27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FFFFFF"/>
      <sz val="10"/>
    </font>
    <font>
      <name val="Arial"/>
      <b val="1"/>
      <color rgb="00283747"/>
      <sz val="9"/>
    </font>
    <font>
      <name val="Arial"/>
      <b val="1"/>
      <color rgb="00283747"/>
      <sz val="20"/>
    </font>
    <font>
      <name val="Arial"/>
      <b val="1"/>
      <color rgb="00196F3D"/>
      <sz val="9"/>
    </font>
    <font>
      <name val="Arial"/>
      <b val="1"/>
      <color rgb="00196F3D"/>
      <sz val="20"/>
    </font>
    <font>
      <name val="Arial"/>
      <b val="1"/>
      <color rgb="007D6608"/>
      <sz val="9"/>
    </font>
    <font>
      <name val="Arial"/>
      <b val="1"/>
      <color rgb="007D6608"/>
      <sz val="20"/>
    </font>
    <font>
      <name val="Arial"/>
      <b val="1"/>
      <color rgb="00B03A2E"/>
      <sz val="9"/>
    </font>
    <font>
      <name val="Arial"/>
      <b val="1"/>
      <color rgb="00B03A2E"/>
      <sz val="20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sz val="12"/>
    </font>
    <font>
      <name val="Arial"/>
      <color rgb="00566573"/>
      <sz val="9"/>
    </font>
    <font>
      <name val="Arial"/>
      <b val="1"/>
      <sz val="10"/>
    </font>
    <font>
      <name val="Arial"/>
      <sz val="10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FFFFFF"/>
      <sz val="16"/>
    </font>
    <font>
      <name val="Arial"/>
      <color rgb="00C0392B"/>
      <sz val="11"/>
    </font>
    <font>
      <name val="Arial"/>
      <color rgb="00CA6F1E"/>
      <sz val="11"/>
    </font>
    <font>
      <name val="Arial"/>
      <color rgb="001F618D"/>
      <sz val="11"/>
    </font>
    <font>
      <name val="Arial"/>
      <color rgb="00117A65"/>
      <sz val="11"/>
    </font>
    <font>
      <name val="Arial"/>
      <color rgb="005D6D7E"/>
      <sz val="11"/>
    </font>
    <font>
      <name val="Arial"/>
      <color rgb="007D6608"/>
      <sz val="11"/>
    </font>
    <font>
      <name val="Arial"/>
      <color rgb="0085929E"/>
      <sz val="11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4B76"/>
      </patternFill>
    </fill>
    <fill>
      <patternFill patternType="solid">
        <fgColor rgb="00EAECEE"/>
      </patternFill>
    </fill>
    <fill>
      <patternFill patternType="solid">
        <fgColor rgb="00D5F5E3"/>
      </patternFill>
    </fill>
    <fill>
      <patternFill patternType="solid">
        <fgColor rgb="00FCF3CF"/>
      </patternFill>
    </fill>
    <fill>
      <patternFill patternType="solid">
        <fgColor rgb="00FADBD8"/>
      </patternFill>
    </fill>
    <fill>
      <patternFill patternType="solid">
        <fgColor rgb="00C0392B"/>
      </patternFill>
    </fill>
    <fill>
      <patternFill patternType="solid">
        <fgColor rgb="00FDEDEC"/>
      </patternFill>
    </fill>
    <fill>
      <patternFill patternType="solid">
        <fgColor rgb="00CA6F1E"/>
      </patternFill>
    </fill>
    <fill>
      <patternFill patternType="solid">
        <fgColor rgb="00FDF2E9"/>
      </patternFill>
    </fill>
    <fill>
      <patternFill patternType="solid">
        <fgColor rgb="001F618D"/>
      </patternFill>
    </fill>
    <fill>
      <patternFill patternType="solid">
        <fgColor rgb="00EBF5FB"/>
      </patternFill>
    </fill>
    <fill>
      <patternFill patternType="solid">
        <fgColor rgb="00117A65"/>
      </patternFill>
    </fill>
    <fill>
      <patternFill patternType="solid">
        <fgColor rgb="00E8F6F3"/>
      </patternFill>
    </fill>
    <fill>
      <patternFill patternType="solid">
        <fgColor rgb="005D6D7E"/>
      </patternFill>
    </fill>
    <fill>
      <patternFill patternType="solid">
        <fgColor rgb="00F2F4F4"/>
      </patternFill>
    </fill>
    <fill>
      <patternFill patternType="solid">
        <fgColor rgb="007D6608"/>
      </patternFill>
    </fill>
    <fill>
      <patternFill patternType="solid">
        <fgColor rgb="0085929E"/>
      </patternFill>
    </fill>
    <fill>
      <patternFill patternType="solid">
        <fgColor rgb="00F8F9F9"/>
      </patternFill>
    </fill>
    <fill>
      <patternFill patternType="solid">
        <fgColor rgb="00F4F6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130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2" borderId="0" pivotButton="0" quotePrefix="0" xfId="0"/>
    <xf numFmtId="0" fontId="2" fillId="3" borderId="0" applyAlignment="1" pivotButton="0" quotePrefix="0" xfId="0">
      <alignment vertical="center" indent="1"/>
    </xf>
    <xf numFmtId="0" fontId="0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5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6" borderId="1" applyAlignment="1" pivotButton="0" quotePrefix="0" xfId="0">
      <alignment horizontal="center" vertical="center"/>
    </xf>
    <xf numFmtId="0" fontId="0" fillId="6" borderId="1" pivotButton="0" quotePrefix="0" xfId="0"/>
    <xf numFmtId="0" fontId="9" fillId="7" borderId="1" applyAlignment="1" pivotButton="0" quotePrefix="0" xfId="0">
      <alignment horizontal="center" vertical="center"/>
    </xf>
    <xf numFmtId="0" fontId="0" fillId="7" borderId="1" pivotButton="0" quotePrefix="0" xfId="0"/>
    <xf numFmtId="164" fontId="4" fillId="4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164" fontId="8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left" vertical="center" wrapText="1" indent="1"/>
    </xf>
    <xf numFmtId="0" fontId="12" fillId="8" borderId="1" applyAlignment="1" pivotButton="0" quotePrefix="0" xfId="0">
      <alignment vertical="center"/>
    </xf>
    <xf numFmtId="0" fontId="0" fillId="8" borderId="1" pivotButton="0" quotePrefix="0" xfId="0"/>
    <xf numFmtId="164" fontId="17" fillId="8" borderId="1" applyAlignment="1" pivotButton="0" quotePrefix="0" xfId="0">
      <alignment horizontal="right" vertical="center" indent="1"/>
    </xf>
    <xf numFmtId="0" fontId="13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 indent="1"/>
    </xf>
    <xf numFmtId="0" fontId="15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wrapText="1" indent="1"/>
    </xf>
    <xf numFmtId="165" fontId="15" fillId="9" borderId="1" applyAlignment="1" pivotButton="0" quotePrefix="0" xfId="0">
      <alignment horizontal="left" vertical="center" indent="1"/>
    </xf>
    <xf numFmtId="0" fontId="16" fillId="9" borderId="1" applyAlignment="1" pivotButton="0" quotePrefix="0" xfId="0">
      <alignment horizontal="left" vertical="center" indent="1"/>
    </xf>
    <xf numFmtId="0" fontId="14" fillId="9" borderId="1" applyAlignment="1" pivotButton="0" quotePrefix="0" xfId="0">
      <alignment horizontal="left" vertical="center" wrapText="1" indent="1"/>
    </xf>
    <xf numFmtId="0" fontId="12" fillId="10" borderId="1" applyAlignment="1" pivotButton="0" quotePrefix="0" xfId="0">
      <alignment vertical="center"/>
    </xf>
    <xf numFmtId="0" fontId="0" fillId="10" borderId="1" pivotButton="0" quotePrefix="0" xfId="0"/>
    <xf numFmtId="164" fontId="17" fillId="10" borderId="1" applyAlignment="1" pivotButton="0" quotePrefix="0" xfId="0">
      <alignment horizontal="right" vertical="center" indent="1"/>
    </xf>
    <xf numFmtId="0" fontId="13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 indent="1"/>
    </xf>
    <xf numFmtId="0" fontId="15" fillId="11" borderId="1" applyAlignment="1" pivotButton="0" quotePrefix="0" xfId="0">
      <alignment horizontal="left" vertical="center" indent="1"/>
    </xf>
    <xf numFmtId="0" fontId="16" fillId="11" borderId="1" applyAlignment="1" pivotButton="0" quotePrefix="0" xfId="0">
      <alignment horizontal="left" vertical="center" wrapText="1" indent="1"/>
    </xf>
    <xf numFmtId="165" fontId="15" fillId="11" borderId="1" applyAlignment="1" pivotButton="0" quotePrefix="0" xfId="0">
      <alignment horizontal="left" vertical="center" indent="1"/>
    </xf>
    <xf numFmtId="0" fontId="16" fillId="11" borderId="1" applyAlignment="1" pivotButton="0" quotePrefix="0" xfId="0">
      <alignment horizontal="left" vertical="center" indent="1"/>
    </xf>
    <xf numFmtId="0" fontId="14" fillId="11" borderId="1" applyAlignment="1" pivotButton="0" quotePrefix="0" xfId="0">
      <alignment horizontal="left" vertical="center" wrapText="1" indent="1"/>
    </xf>
    <xf numFmtId="0" fontId="12" fillId="12" borderId="1" applyAlignment="1" pivotButton="0" quotePrefix="0" xfId="0">
      <alignment vertical="center"/>
    </xf>
    <xf numFmtId="0" fontId="0" fillId="12" borderId="1" pivotButton="0" quotePrefix="0" xfId="0"/>
    <xf numFmtId="164" fontId="17" fillId="12" borderId="1" applyAlignment="1" pivotButton="0" quotePrefix="0" xfId="0">
      <alignment horizontal="right" vertical="center" indent="1"/>
    </xf>
    <xf numFmtId="0" fontId="13" fillId="13" borderId="1" applyAlignment="1" pivotButton="0" quotePrefix="0" xfId="0">
      <alignment horizontal="center" vertical="center"/>
    </xf>
    <xf numFmtId="0" fontId="14" fillId="13" borderId="1" applyAlignment="1" pivotButton="0" quotePrefix="0" xfId="0">
      <alignment horizontal="left" vertical="center" indent="1"/>
    </xf>
    <xf numFmtId="0" fontId="15" fillId="13" borderId="1" applyAlignment="1" pivotButton="0" quotePrefix="0" xfId="0">
      <alignment horizontal="left" vertical="center" indent="1"/>
    </xf>
    <xf numFmtId="0" fontId="16" fillId="13" borderId="1" applyAlignment="1" pivotButton="0" quotePrefix="0" xfId="0">
      <alignment horizontal="left" vertical="center" wrapText="1" indent="1"/>
    </xf>
    <xf numFmtId="165" fontId="15" fillId="13" borderId="1" applyAlignment="1" pivotButton="0" quotePrefix="0" xfId="0">
      <alignment horizontal="left" vertical="center" indent="1"/>
    </xf>
    <xf numFmtId="0" fontId="16" fillId="13" borderId="1" applyAlignment="1" pivotButton="0" quotePrefix="0" xfId="0">
      <alignment horizontal="left" vertical="center" indent="1"/>
    </xf>
    <xf numFmtId="0" fontId="14" fillId="13" borderId="1" applyAlignment="1" pivotButton="0" quotePrefix="0" xfId="0">
      <alignment horizontal="left" vertical="center" wrapText="1" indent="1"/>
    </xf>
    <xf numFmtId="0" fontId="12" fillId="14" borderId="1" applyAlignment="1" pivotButton="0" quotePrefix="0" xfId="0">
      <alignment vertical="center"/>
    </xf>
    <xf numFmtId="0" fontId="0" fillId="14" borderId="1" pivotButton="0" quotePrefix="0" xfId="0"/>
    <xf numFmtId="164" fontId="17" fillId="14" borderId="1" applyAlignment="1" pivotButton="0" quotePrefix="0" xfId="0">
      <alignment horizontal="right" vertical="center" indent="1"/>
    </xf>
    <xf numFmtId="0" fontId="13" fillId="15" borderId="1" applyAlignment="1" pivotButton="0" quotePrefix="0" xfId="0">
      <alignment horizontal="center" vertical="center"/>
    </xf>
    <xf numFmtId="0" fontId="14" fillId="15" borderId="1" applyAlignment="1" pivotButton="0" quotePrefix="0" xfId="0">
      <alignment horizontal="left" vertical="center" indent="1"/>
    </xf>
    <xf numFmtId="0" fontId="15" fillId="15" borderId="1" applyAlignment="1" pivotButton="0" quotePrefix="0" xfId="0">
      <alignment horizontal="left" vertical="center" indent="1"/>
    </xf>
    <xf numFmtId="0" fontId="16" fillId="15" borderId="1" applyAlignment="1" pivotButton="0" quotePrefix="0" xfId="0">
      <alignment horizontal="left" vertical="center" wrapText="1" indent="1"/>
    </xf>
    <xf numFmtId="165" fontId="15" fillId="15" borderId="1" applyAlignment="1" pivotButton="0" quotePrefix="0" xfId="0">
      <alignment horizontal="left" vertical="center" indent="1"/>
    </xf>
    <xf numFmtId="0" fontId="16" fillId="15" borderId="1" applyAlignment="1" pivotButton="0" quotePrefix="0" xfId="0">
      <alignment horizontal="left" vertical="center" indent="1"/>
    </xf>
    <xf numFmtId="0" fontId="14" fillId="15" borderId="1" applyAlignment="1" pivotButton="0" quotePrefix="0" xfId="0">
      <alignment horizontal="left" vertical="center" wrapText="1" indent="1"/>
    </xf>
    <xf numFmtId="0" fontId="12" fillId="16" borderId="1" applyAlignment="1" pivotButton="0" quotePrefix="0" xfId="0">
      <alignment vertical="center"/>
    </xf>
    <xf numFmtId="0" fontId="0" fillId="16" borderId="1" pivotButton="0" quotePrefix="0" xfId="0"/>
    <xf numFmtId="164" fontId="17" fillId="16" borderId="1" applyAlignment="1" pivotButton="0" quotePrefix="0" xfId="0">
      <alignment horizontal="right" vertical="center" indent="1"/>
    </xf>
    <xf numFmtId="0" fontId="13" fillId="17" borderId="1" applyAlignment="1" pivotButton="0" quotePrefix="0" xfId="0">
      <alignment horizontal="center" vertical="center"/>
    </xf>
    <xf numFmtId="0" fontId="14" fillId="17" borderId="1" applyAlignment="1" pivotButton="0" quotePrefix="0" xfId="0">
      <alignment horizontal="left" vertical="center" indent="1"/>
    </xf>
    <xf numFmtId="0" fontId="15" fillId="17" borderId="1" applyAlignment="1" pivotButton="0" quotePrefix="0" xfId="0">
      <alignment horizontal="left" vertical="center" indent="1"/>
    </xf>
    <xf numFmtId="0" fontId="16" fillId="17" borderId="1" applyAlignment="1" pivotButton="0" quotePrefix="0" xfId="0">
      <alignment horizontal="left" vertical="center" wrapText="1" indent="1"/>
    </xf>
    <xf numFmtId="165" fontId="15" fillId="17" borderId="1" applyAlignment="1" pivotButton="0" quotePrefix="0" xfId="0">
      <alignment horizontal="left" vertical="center" indent="1"/>
    </xf>
    <xf numFmtId="0" fontId="16" fillId="17" borderId="1" applyAlignment="1" pivotButton="0" quotePrefix="0" xfId="0">
      <alignment horizontal="left" vertical="center" indent="1"/>
    </xf>
    <xf numFmtId="0" fontId="14" fillId="17" borderId="1" applyAlignment="1" pivotButton="0" quotePrefix="0" xfId="0">
      <alignment horizontal="left" vertical="center" wrapText="1" indent="1"/>
    </xf>
    <xf numFmtId="0" fontId="12" fillId="18" borderId="1" applyAlignment="1" pivotButton="0" quotePrefix="0" xfId="0">
      <alignment vertical="center"/>
    </xf>
    <xf numFmtId="0" fontId="0" fillId="18" borderId="1" pivotButton="0" quotePrefix="0" xfId="0"/>
    <xf numFmtId="164" fontId="17" fillId="18" borderId="1" applyAlignment="1" pivotButton="0" quotePrefix="0" xfId="0">
      <alignment horizontal="right" vertical="center" indent="1"/>
    </xf>
    <xf numFmtId="0" fontId="13" fillId="6" borderId="1" applyAlignment="1" pivotButton="0" quotePrefix="0" xfId="0">
      <alignment horizontal="center" vertical="center"/>
    </xf>
    <xf numFmtId="0" fontId="14" fillId="6" borderId="1" applyAlignment="1" pivotButton="0" quotePrefix="0" xfId="0">
      <alignment horizontal="left" vertical="center" indent="1"/>
    </xf>
    <xf numFmtId="0" fontId="15" fillId="6" borderId="1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left" vertical="center" wrapText="1" indent="1"/>
    </xf>
    <xf numFmtId="165" fontId="15" fillId="6" borderId="1" applyAlignment="1" pivotButton="0" quotePrefix="0" xfId="0">
      <alignment horizontal="left" vertical="center" indent="1"/>
    </xf>
    <xf numFmtId="0" fontId="16" fillId="6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 wrapText="1" indent="1"/>
    </xf>
    <xf numFmtId="0" fontId="12" fillId="19" borderId="1" applyAlignment="1" pivotButton="0" quotePrefix="0" xfId="0">
      <alignment vertical="center"/>
    </xf>
    <xf numFmtId="0" fontId="0" fillId="19" borderId="1" pivotButton="0" quotePrefix="0" xfId="0"/>
    <xf numFmtId="164" fontId="17" fillId="19" borderId="1" applyAlignment="1" pivotButton="0" quotePrefix="0" xfId="0">
      <alignment horizontal="right" vertical="center" indent="1"/>
    </xf>
    <xf numFmtId="0" fontId="13" fillId="20" borderId="1" applyAlignment="1" pivotButton="0" quotePrefix="0" xfId="0">
      <alignment horizontal="center" vertical="center"/>
    </xf>
    <xf numFmtId="0" fontId="14" fillId="20" borderId="1" applyAlignment="1" pivotButton="0" quotePrefix="0" xfId="0">
      <alignment horizontal="left" vertical="center" indent="1"/>
    </xf>
    <xf numFmtId="0" fontId="15" fillId="20" borderId="1" applyAlignment="1" pivotButton="0" quotePrefix="0" xfId="0">
      <alignment horizontal="left" vertical="center" indent="1"/>
    </xf>
    <xf numFmtId="0" fontId="16" fillId="20" borderId="1" applyAlignment="1" pivotButton="0" quotePrefix="0" xfId="0">
      <alignment horizontal="left" vertical="center" wrapText="1" indent="1"/>
    </xf>
    <xf numFmtId="165" fontId="15" fillId="20" borderId="1" applyAlignment="1" pivotButton="0" quotePrefix="0" xfId="0">
      <alignment horizontal="left" vertical="center" indent="1"/>
    </xf>
    <xf numFmtId="0" fontId="16" fillId="20" borderId="1" applyAlignment="1" pivotButton="0" quotePrefix="0" xfId="0">
      <alignment horizontal="left" vertical="center" indent="1"/>
    </xf>
    <xf numFmtId="0" fontId="14" fillId="20" borderId="1" applyAlignment="1" pivotButton="0" quotePrefix="0" xfId="0">
      <alignment horizontal="left" vertical="center" wrapText="1" indent="1"/>
    </xf>
    <xf numFmtId="0" fontId="18" fillId="2" borderId="1" applyAlignment="1" pivotButton="0" quotePrefix="0" xfId="0">
      <alignment vertical="center"/>
    </xf>
    <xf numFmtId="0" fontId="0" fillId="2" borderId="1" pivotButton="0" quotePrefix="0" xfId="0"/>
    <xf numFmtId="164" fontId="18" fillId="2" borderId="1" pivotButton="0" quotePrefix="0" xfId="0"/>
    <xf numFmtId="0" fontId="14" fillId="0" borderId="0" pivotButton="0" quotePrefix="0" xfId="0"/>
    <xf numFmtId="0" fontId="19" fillId="2" borderId="0" applyAlignment="1" pivotButton="0" quotePrefix="0" xfId="0">
      <alignment vertical="center" indent="1"/>
    </xf>
    <xf numFmtId="0" fontId="11" fillId="2" borderId="1" applyAlignment="1" pivotButton="0" quotePrefix="0" xfId="0">
      <alignment vertical="center" indent="1"/>
    </xf>
    <xf numFmtId="0" fontId="15" fillId="21" borderId="1" applyAlignment="1" pivotButton="0" quotePrefix="0" xfId="0">
      <alignment vertical="center" indent="1"/>
    </xf>
    <xf numFmtId="0" fontId="16" fillId="21" borderId="1" applyAlignment="1" pivotButton="0" quotePrefix="0" xfId="0">
      <alignment vertical="center" indent="1"/>
    </xf>
    <xf numFmtId="0" fontId="15" fillId="22" borderId="1" applyAlignment="1" pivotButton="0" quotePrefix="0" xfId="0">
      <alignment vertical="center" indent="1"/>
    </xf>
    <xf numFmtId="0" fontId="16" fillId="22" borderId="1" applyAlignment="1" pivotButton="0" quotePrefix="0" xfId="0">
      <alignment vertical="center" indent="1"/>
    </xf>
    <xf numFmtId="0" fontId="15" fillId="9" borderId="1" applyAlignment="1" pivotButton="0" quotePrefix="0" xfId="0">
      <alignment vertical="center" indent="1"/>
    </xf>
    <xf numFmtId="164" fontId="15" fillId="9" borderId="1" applyAlignment="1" pivotButton="0" quotePrefix="0" xfId="0">
      <alignment vertical="center" indent="1"/>
    </xf>
    <xf numFmtId="0" fontId="20" fillId="9" borderId="1" applyAlignment="1" pivotButton="0" quotePrefix="0" xfId="0">
      <alignment vertical="center" indent="1"/>
    </xf>
    <xf numFmtId="166" fontId="16" fillId="9" borderId="1" applyAlignment="1" pivotButton="0" quotePrefix="0" xfId="0">
      <alignment vertical="center" indent="1"/>
    </xf>
    <xf numFmtId="0" fontId="15" fillId="11" borderId="1" applyAlignment="1" pivotButton="0" quotePrefix="0" xfId="0">
      <alignment vertical="center" indent="1"/>
    </xf>
    <xf numFmtId="164" fontId="15" fillId="11" borderId="1" applyAlignment="1" pivotButton="0" quotePrefix="0" xfId="0">
      <alignment vertical="center" indent="1"/>
    </xf>
    <xf numFmtId="0" fontId="21" fillId="11" borderId="1" applyAlignment="1" pivotButton="0" quotePrefix="0" xfId="0">
      <alignment vertical="center" indent="1"/>
    </xf>
    <xf numFmtId="166" fontId="16" fillId="11" borderId="1" applyAlignment="1" pivotButton="0" quotePrefix="0" xfId="0">
      <alignment vertical="center" indent="1"/>
    </xf>
    <xf numFmtId="0" fontId="15" fillId="13" borderId="1" applyAlignment="1" pivotButton="0" quotePrefix="0" xfId="0">
      <alignment vertical="center" indent="1"/>
    </xf>
    <xf numFmtId="164" fontId="15" fillId="13" borderId="1" applyAlignment="1" pivotButton="0" quotePrefix="0" xfId="0">
      <alignment vertical="center" indent="1"/>
    </xf>
    <xf numFmtId="0" fontId="22" fillId="13" borderId="1" applyAlignment="1" pivotButton="0" quotePrefix="0" xfId="0">
      <alignment vertical="center" indent="1"/>
    </xf>
    <xf numFmtId="166" fontId="16" fillId="13" borderId="1" applyAlignment="1" pivotButton="0" quotePrefix="0" xfId="0">
      <alignment vertical="center" indent="1"/>
    </xf>
    <xf numFmtId="0" fontId="15" fillId="15" borderId="1" applyAlignment="1" pivotButton="0" quotePrefix="0" xfId="0">
      <alignment vertical="center" indent="1"/>
    </xf>
    <xf numFmtId="164" fontId="15" fillId="15" borderId="1" applyAlignment="1" pivotButton="0" quotePrefix="0" xfId="0">
      <alignment vertical="center" indent="1"/>
    </xf>
    <xf numFmtId="0" fontId="23" fillId="15" borderId="1" applyAlignment="1" pivotButton="0" quotePrefix="0" xfId="0">
      <alignment vertical="center" indent="1"/>
    </xf>
    <xf numFmtId="166" fontId="16" fillId="15" borderId="1" applyAlignment="1" pivotButton="0" quotePrefix="0" xfId="0">
      <alignment vertical="center" indent="1"/>
    </xf>
    <xf numFmtId="0" fontId="15" fillId="17" borderId="1" applyAlignment="1" pivotButton="0" quotePrefix="0" xfId="0">
      <alignment vertical="center" indent="1"/>
    </xf>
    <xf numFmtId="164" fontId="15" fillId="17" borderId="1" applyAlignment="1" pivotButton="0" quotePrefix="0" xfId="0">
      <alignment vertical="center" indent="1"/>
    </xf>
    <xf numFmtId="0" fontId="24" fillId="17" borderId="1" applyAlignment="1" pivotButton="0" quotePrefix="0" xfId="0">
      <alignment vertical="center" indent="1"/>
    </xf>
    <xf numFmtId="166" fontId="16" fillId="17" borderId="1" applyAlignment="1" pivotButton="0" quotePrefix="0" xfId="0">
      <alignment vertical="center" indent="1"/>
    </xf>
    <xf numFmtId="0" fontId="15" fillId="6" borderId="1" applyAlignment="1" pivotButton="0" quotePrefix="0" xfId="0">
      <alignment vertical="center" indent="1"/>
    </xf>
    <xf numFmtId="164" fontId="15" fillId="6" borderId="1" applyAlignment="1" pivotButton="0" quotePrefix="0" xfId="0">
      <alignment vertical="center" indent="1"/>
    </xf>
    <xf numFmtId="0" fontId="25" fillId="6" borderId="1" applyAlignment="1" pivotButton="0" quotePrefix="0" xfId="0">
      <alignment vertical="center" indent="1"/>
    </xf>
    <xf numFmtId="166" fontId="16" fillId="6" borderId="1" applyAlignment="1" pivotButton="0" quotePrefix="0" xfId="0">
      <alignment vertical="center" indent="1"/>
    </xf>
    <xf numFmtId="0" fontId="15" fillId="20" borderId="1" applyAlignment="1" pivotButton="0" quotePrefix="0" xfId="0">
      <alignment vertical="center" indent="1"/>
    </xf>
    <xf numFmtId="164" fontId="15" fillId="20" borderId="1" applyAlignment="1" pivotButton="0" quotePrefix="0" xfId="0">
      <alignment vertical="center" indent="1"/>
    </xf>
    <xf numFmtId="0" fontId="26" fillId="20" borderId="1" applyAlignment="1" pivotButton="0" quotePrefix="0" xfId="0">
      <alignment vertical="center" indent="1"/>
    </xf>
    <xf numFmtId="166" fontId="16" fillId="20" borderId="1" applyAlignment="1" pivotButton="0" quotePrefix="0" xfId="0">
      <alignment vertical="center" indent="1"/>
    </xf>
    <xf numFmtId="0" fontId="17" fillId="2" borderId="1" applyAlignment="1" pivotButton="0" quotePrefix="0" xfId="0">
      <alignment vertical="center" indent="1"/>
    </xf>
    <xf numFmtId="164" fontId="17" fillId="2" borderId="1" applyAlignment="1" pivotButton="0" quotePrefix="0" xfId="0">
      <alignment vertical="center" indent="1"/>
    </xf>
    <xf numFmtId="0" fontId="0" fillId="2" borderId="1" applyAlignment="1" pivotButton="0" quotePrefix="0" xfId="0">
      <alignment vertical="center" indent="1"/>
    </xf>
  </cellXfs>
  <cellStyles count="1">
    <cellStyle name="Normal" xfId="0" builtinId="0" hidden="0"/>
  </cellStyles>
  <dxfs count="1">
    <dxf>
      <font>
        <i val="1"/>
        <strike val="1"/>
        <color rgb="007B8A8B"/>
      </font>
      <fill>
        <patternFill>
          <bgColor rgb="00D5F5E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"/>
  <sheetViews>
    <sheetView showGridLines="0" workbookViewId="0">
      <pane xSplit="3" ySplit="7" topLeftCell="D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27" customWidth="1" min="3" max="3"/>
    <col width="46" customWidth="1" min="4" max="4"/>
    <col width="15" customWidth="1" min="5" max="5"/>
    <col width="18" customWidth="1" min="6" max="6"/>
    <col width="19" customWidth="1" min="7" max="7"/>
    <col width="30" customWidth="1" min="8" max="8"/>
    <col width="33" customWidth="1" min="9" max="9"/>
    <col width="70" customWidth="1" min="10" max="10"/>
  </cols>
  <sheetData>
    <row r="1" ht="38" customHeight="1">
      <c r="A1" s="1" t="inlineStr">
        <is>
          <t>CHECKLIST DE PAGOS · ARGENTINA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2" customHeight="1">
      <c r="A2" s="3" t="inlineStr">
        <is>
          <t>Cumbre de los Millonarios Conscientes 2026 · La Rural, Pabellón Azul · montaje 2 de octubre, evento 3 y 4 · corte al 2 de septiembre · dólar $1.510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 ht="20" customHeight="1">
      <c r="A4" s="5" t="inlineStr">
        <is>
          <t>COSTO TOTAL DEL EVENTO</t>
        </is>
      </c>
      <c r="B4" s="6" t="n"/>
      <c r="C4" s="6" t="n"/>
      <c r="D4" s="7" t="inlineStr">
        <is>
          <t>YA PAGADO</t>
        </is>
      </c>
      <c r="E4" s="8" t="n"/>
      <c r="F4" s="9" t="inlineStr">
        <is>
          <t>FALTA DESEMBOLSAR</t>
        </is>
      </c>
      <c r="G4" s="10" t="n"/>
      <c r="H4" s="11" t="inlineStr">
        <is>
          <t>URGENTE · tramos 1 y 2</t>
        </is>
      </c>
      <c r="I4" s="12" t="n"/>
      <c r="J4" s="12" t="n"/>
    </row>
    <row r="5" ht="34" customHeight="1">
      <c r="A5" s="13" t="n">
        <v>236647.2114587086</v>
      </c>
      <c r="B5" s="6" t="n"/>
      <c r="C5" s="6" t="n"/>
      <c r="D5" s="14" t="n">
        <v>55891.15</v>
      </c>
      <c r="E5" s="8" t="n"/>
      <c r="F5" s="15" t="n">
        <v>180756.0614587086</v>
      </c>
      <c r="G5" s="10" t="n"/>
      <c r="H5" s="16" t="n">
        <v>52564.09</v>
      </c>
      <c r="I5" s="12" t="n"/>
      <c r="J5" s="12" t="n"/>
    </row>
    <row r="7" ht="26" customHeight="1">
      <c r="A7" s="17" t="inlineStr">
        <is>
          <t>✔</t>
        </is>
      </c>
      <c r="B7" s="18" t="inlineStr">
        <is>
          <t>Rubro</t>
        </is>
      </c>
      <c r="C7" s="18" t="inlineStr">
        <is>
          <t>Proveedor</t>
        </is>
      </c>
      <c r="D7" s="18" t="inlineStr">
        <is>
          <t>Concepto</t>
        </is>
      </c>
      <c r="E7" s="17" t="inlineStr">
        <is>
          <t>A pagar</t>
        </is>
      </c>
      <c r="F7" s="18" t="inlineStr">
        <is>
          <t>Cuándo</t>
        </is>
      </c>
      <c r="G7" s="18" t="inlineStr">
        <is>
          <t>Cómo se paga</t>
        </is>
      </c>
      <c r="H7" s="18" t="inlineStr">
        <is>
          <t>Contacto</t>
        </is>
      </c>
      <c r="I7" s="18" t="inlineStr">
        <is>
          <t>Teléfono / mail</t>
        </is>
      </c>
      <c r="J7" s="18" t="inlineStr">
        <is>
          <t>Notas</t>
        </is>
      </c>
    </row>
    <row r="8" ht="24" customHeight="1">
      <c r="A8" s="19" t="inlineStr">
        <is>
          <t xml:space="preserve">   1 · VENCIDO O YA FACTURADO</t>
        </is>
      </c>
      <c r="B8" s="20" t="n"/>
      <c r="C8" s="20" t="n"/>
      <c r="D8" s="20" t="n"/>
      <c r="E8" s="20" t="n"/>
      <c r="F8" s="20" t="n"/>
      <c r="G8" s="20" t="n"/>
      <c r="H8" s="20" t="n"/>
      <c r="I8" s="20" t="n"/>
      <c r="J8" s="21">
        <f>SUM(E9:E11)</f>
        <v/>
      </c>
    </row>
    <row r="9" ht="30" customHeight="1">
      <c r="A9" s="22" t="inlineStr">
        <is>
          <t>☐</t>
        </is>
      </c>
      <c r="B9" s="23" t="inlineStr">
        <is>
          <t>Sede</t>
        </is>
      </c>
      <c r="C9" s="24" t="inlineStr">
        <is>
          <t>La Rural</t>
        </is>
      </c>
      <c r="D9" s="25" t="inlineStr">
        <is>
          <t>Saldo del contrato CC-00957, cuota 1 de 2</t>
        </is>
      </c>
      <c r="E9" s="26" t="n">
        <v>15777</v>
      </c>
      <c r="F9" s="27" t="inlineStr">
        <is>
          <t>24 ago — VENCIDA</t>
        </is>
      </c>
      <c r="G9" s="23" t="inlineStr">
        <is>
          <t>Transferencia</t>
        </is>
      </c>
      <c r="H9" s="27" t="inlineStr">
        <is>
          <t>Victoria Grosi · vgrosi@larural.com.ar</t>
        </is>
      </c>
      <c r="I9" s="27" t="inlineStr">
        <is>
          <t>congresosyeventos@larural.com.ar</t>
        </is>
      </c>
      <c r="J9" s="28" t="inlineStr">
        <is>
          <t>Lleva 10 días vencida.</t>
        </is>
      </c>
    </row>
    <row r="10" ht="30" customHeight="1">
      <c r="A10" s="22" t="inlineStr">
        <is>
          <t>☐</t>
        </is>
      </c>
      <c r="B10" s="23" t="inlineStr">
        <is>
          <t>Merch</t>
        </is>
      </c>
      <c r="C10" s="24" t="inlineStr">
        <is>
          <t>REMERASYESTAMPADOS</t>
        </is>
      </c>
      <c r="D10" s="25" t="inlineStr">
        <is>
          <t>Remeras premium x250 — factura 2601017</t>
        </is>
      </c>
      <c r="E10" s="26" t="n">
        <v>2780.64</v>
      </c>
      <c r="F10" s="27" t="inlineStr">
        <is>
          <t>facturado 16 ago</t>
        </is>
      </c>
      <c r="G10" s="23" t="inlineStr">
        <is>
          <t>USDT BEP20</t>
        </is>
      </c>
      <c r="H10" s="27" t="inlineStr">
        <is>
          <t>Leandro Petracci · CUIT 20-30367082-4</t>
        </is>
      </c>
      <c r="I10" s="27" t="inlineStr">
        <is>
          <t>Uruguay 41, Villa Martelli</t>
        </is>
      </c>
      <c r="J10" s="28" t="inlineStr">
        <is>
          <t>Wallet 0xae874c3db52ca1e45604549a5527f450a877b97a</t>
        </is>
      </c>
    </row>
    <row r="11" ht="30" customHeight="1">
      <c r="A11" s="22" t="inlineStr">
        <is>
          <t>☐</t>
        </is>
      </c>
      <c r="B11" s="23" t="inlineStr">
        <is>
          <t>Merch</t>
        </is>
      </c>
      <c r="C11" s="24" t="inlineStr">
        <is>
          <t>REMERASYESTAMPADOS</t>
        </is>
      </c>
      <c r="D11" s="25" t="inlineStr">
        <is>
          <t>Bordado de 940 gorras — factura 2601016</t>
        </is>
      </c>
      <c r="E11" s="26" t="n">
        <v>1721.95</v>
      </c>
      <c r="F11" s="27" t="inlineStr">
        <is>
          <t>facturado 10 ago</t>
        </is>
      </c>
      <c r="G11" s="23" t="inlineStr">
        <is>
          <t>USDT BEP20</t>
        </is>
      </c>
      <c r="H11" s="27" t="inlineStr">
        <is>
          <t>Leandro Petracci · CUIT 20-30367082-4</t>
        </is>
      </c>
      <c r="I11" s="27" t="inlineStr">
        <is>
          <t>Uruguay 41, Villa Martelli</t>
        </is>
      </c>
      <c r="J11" s="28" t="inlineStr">
        <is>
          <t>Mismo wallet que las remeras.</t>
        </is>
      </c>
    </row>
    <row r="12" ht="24" customHeight="1">
      <c r="A12" s="29" t="inlineStr">
        <is>
          <t xml:space="preserve">   2 · ANTICIPOS QUE DESTRABAN CONTRATOS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31">
        <f>SUM(E13:E14)</f>
        <v/>
      </c>
    </row>
    <row r="13" ht="30" customHeight="1">
      <c r="A13" s="32" t="inlineStr">
        <is>
          <t>☐</t>
        </is>
      </c>
      <c r="B13" s="33" t="inlineStr">
        <is>
          <t>Técnica</t>
        </is>
      </c>
      <c r="C13" s="34" t="inlineStr">
        <is>
          <t>Grupo MET · Lalo Aizenberg</t>
        </is>
      </c>
      <c r="D13" s="35" t="inlineStr">
        <is>
          <t>Producción técnica — resto del anticipo del 50%</t>
        </is>
      </c>
      <c r="E13" s="36" t="n">
        <v>25000</v>
      </c>
      <c r="F13" s="37" t="inlineStr">
        <is>
          <t>urgente</t>
        </is>
      </c>
      <c r="G13" s="33" t="inlineStr">
        <is>
          <t>Transferencia / Mercury</t>
        </is>
      </c>
      <c r="H13" s="37" t="inlineStr">
        <is>
          <t>Lalo Aizenberg</t>
        </is>
      </c>
      <c r="I13" s="37" t="inlineStr">
        <is>
          <t>11 6411-6748</t>
        </is>
      </c>
      <c r="J13" s="38" t="inlineStr">
        <is>
          <t>El 50% son US$30.000; ya se pagaron US$5.000 con la factura INV-11 del 31/07.</t>
        </is>
      </c>
    </row>
    <row r="14" ht="30" customHeight="1">
      <c r="A14" s="32" t="inlineStr">
        <is>
          <t>☐</t>
        </is>
      </c>
      <c r="B14" s="33" t="inlineStr">
        <is>
          <t>Catering</t>
        </is>
      </c>
      <c r="C14" s="34" t="inlineStr">
        <is>
          <t>Grupo Ambient · Ángeles</t>
        </is>
      </c>
      <c r="D14" s="35" t="inlineStr">
        <is>
          <t>Catering — anticipo del 50%</t>
        </is>
      </c>
      <c r="E14" s="36" t="n">
        <v>7284.5</v>
      </c>
      <c r="F14" s="37" t="inlineStr">
        <is>
          <t>urgente</t>
        </is>
      </c>
      <c r="G14" s="33" t="inlineStr">
        <is>
          <t>Transferencia</t>
        </is>
      </c>
      <c r="H14" s="37" t="inlineStr">
        <is>
          <t>Ángeles</t>
        </is>
      </c>
      <c r="I14" s="37" t="inlineStr">
        <is>
          <t>angeles@grupoambient.com.ar</t>
        </is>
      </c>
      <c r="J14" s="38" t="inlineStr">
        <is>
          <t>Total cerrado US$14.569 por las dos propuestas.</t>
        </is>
      </c>
    </row>
    <row r="15" ht="24" customHeight="1">
      <c r="A15" s="39" t="inlineStr">
        <is>
          <t xml:space="preserve">   3 · PROVEEDORES DEL PREDIO — firmar y señar</t>
        </is>
      </c>
      <c r="B15" s="40" t="n"/>
      <c r="C15" s="40" t="n"/>
      <c r="D15" s="40" t="n"/>
      <c r="E15" s="40" t="n"/>
      <c r="F15" s="40" t="n"/>
      <c r="G15" s="40" t="n"/>
      <c r="H15" s="40" t="n"/>
      <c r="I15" s="40" t="n"/>
      <c r="J15" s="41">
        <f>SUM(E16:E24)</f>
        <v/>
      </c>
    </row>
    <row r="16" ht="30" customHeight="1">
      <c r="A16" s="42" t="inlineStr">
        <is>
          <t>☐</t>
        </is>
      </c>
      <c r="B16" s="43" t="inlineStr">
        <is>
          <t>Mobiliario</t>
        </is>
      </c>
      <c r="C16" s="44" t="inlineStr">
        <is>
          <t>FDL Eventos · Federico</t>
        </is>
      </c>
      <c r="D16" s="45" t="inlineStr">
        <is>
          <t>5.500 sillas + flete</t>
        </is>
      </c>
      <c r="E16" s="46" t="n">
        <v>20674.17</v>
      </c>
      <c r="F16" s="47" t="inlineStr">
        <is>
          <t>a definir</t>
        </is>
      </c>
      <c r="G16" s="43" t="inlineStr">
        <is>
          <t>A resolver</t>
        </is>
      </c>
      <c r="H16" s="47" t="inlineStr">
        <is>
          <t>Federico</t>
        </is>
      </c>
      <c r="I16" s="47" t="inlineStr">
        <is>
          <t>11 4403-0698 / 11 4040-7012</t>
        </is>
      </c>
      <c r="J16" s="48" t="inlineStr">
        <is>
          <t>PENDIENTE: no confirmaron si pueden facturar al exterior. Lo hacen con un tercero que emite en EE.UU.</t>
        </is>
      </c>
    </row>
    <row r="17" ht="30" customHeight="1">
      <c r="A17" s="42" t="inlineStr">
        <is>
          <t>☐</t>
        </is>
      </c>
      <c r="B17" s="43" t="inlineStr">
        <is>
          <t>Infraestructura</t>
        </is>
      </c>
      <c r="C17" s="44" t="inlineStr">
        <is>
          <t>La Rural</t>
        </is>
      </c>
      <c r="D17" s="45" t="inlineStr">
        <is>
          <t>Armado de stands</t>
        </is>
      </c>
      <c r="E17" s="46" t="n">
        <v>9270</v>
      </c>
      <c r="F17" s="47" t="inlineStr">
        <is>
          <t>a definir</t>
        </is>
      </c>
      <c r="G17" s="43" t="inlineStr">
        <is>
          <t>Transferencia</t>
        </is>
      </c>
      <c r="H17" s="47" t="inlineStr">
        <is>
          <t>Arq. Christian Riccio</t>
        </is>
      </c>
      <c r="I17" s="47" t="inlineStr">
        <is>
          <t>+54 9 11 3481-2179</t>
        </is>
      </c>
      <c r="J17" s="48" t="inlineStr">
        <is>
          <t>criccio@larural.com.ar · falta pedirle los espejos.</t>
        </is>
      </c>
    </row>
    <row r="18" ht="30" customHeight="1">
      <c r="A18" s="42" t="inlineStr">
        <is>
          <t>☐</t>
        </is>
      </c>
      <c r="B18" s="43" t="inlineStr">
        <is>
          <t>Servicios</t>
        </is>
      </c>
      <c r="C18" s="44" t="inlineStr">
        <is>
          <t>Road Seguridad S.A.</t>
        </is>
      </c>
      <c r="D18" s="45" t="inlineStr">
        <is>
          <t>263 h de vigilancia + planos + supervisión</t>
        </is>
      </c>
      <c r="E18" s="46" t="n">
        <v>5784.7</v>
      </c>
      <c r="F18" s="47" t="inlineStr">
        <is>
          <t>a definir</t>
        </is>
      </c>
      <c r="G18" s="43" t="inlineStr">
        <is>
          <t>Transferencia</t>
        </is>
      </c>
      <c r="H18" s="47" t="inlineStr">
        <is>
          <t>Javier Celiz</t>
        </is>
      </c>
      <c r="I18" s="47" t="inlineStr">
        <is>
          <t>Cel 11 6303-7845 · Of. 4756-5691</t>
        </is>
      </c>
      <c r="J18" s="48" t="inlineStr">
        <is>
          <t>presupuestos@roadseguridad.com.ar · versión V3 del 12/08, lista para firmar.</t>
        </is>
      </c>
    </row>
    <row r="19" ht="30" customHeight="1">
      <c r="A19" s="42" t="inlineStr">
        <is>
          <t>☐</t>
        </is>
      </c>
      <c r="B19" s="43" t="inlineStr">
        <is>
          <t>Servicios</t>
        </is>
      </c>
      <c r="C19" s="44" t="inlineStr">
        <is>
          <t>Vittal</t>
        </is>
      </c>
      <c r="D19" s="45" t="inlineStr">
        <is>
          <t>Servicio médico, 3 días</t>
        </is>
      </c>
      <c r="E19" s="46" t="n">
        <v>4658.94</v>
      </c>
      <c r="F19" s="47" t="inlineStr">
        <is>
          <t>a definir</t>
        </is>
      </c>
      <c r="G19" s="43" t="inlineStr">
        <is>
          <t>A resolver</t>
        </is>
      </c>
      <c r="H19" s="47" t="inlineStr">
        <is>
          <t>vtomas@vittal.com.ar</t>
        </is>
      </c>
      <c r="I19" s="47" t="inlineStr">
        <is>
          <t>—</t>
        </is>
      </c>
      <c r="J19" s="48" t="inlineStr">
        <is>
          <t>PENDIENTE: tampoco confirmaron si pueden facturar al exterior.</t>
        </is>
      </c>
    </row>
    <row r="20" ht="30" customHeight="1">
      <c r="A20" s="42" t="inlineStr">
        <is>
          <t>☐</t>
        </is>
      </c>
      <c r="B20" s="43" t="inlineStr">
        <is>
          <t>Servicios</t>
        </is>
      </c>
      <c r="C20" s="44" t="inlineStr">
        <is>
          <t>Higia Eventos</t>
        </is>
      </c>
      <c r="D20" s="45" t="inlineStr">
        <is>
          <t>Limpieza, 205,5 h — ANTICIPO 50%</t>
        </is>
      </c>
      <c r="E20" s="46" t="n">
        <v>1349.21</v>
      </c>
      <c r="F20" s="47" t="inlineStr">
        <is>
          <t>antes del armado</t>
        </is>
      </c>
      <c r="G20" s="43" t="inlineStr">
        <is>
          <t>Transferencia</t>
        </is>
      </c>
      <c r="H20" s="47" t="inlineStr">
        <is>
          <t>Malena Carrizo / Yanina Cruz</t>
        </is>
      </c>
      <c r="I20" s="47" t="inlineStr">
        <is>
          <t>malena.carrizo@higiaeventos.com</t>
        </is>
      </c>
      <c r="J20" s="48" t="inlineStr">
        <is>
          <t>Piden 50% de anticipo antes del armado. El saldo (US$1.349) va contra el evento.</t>
        </is>
      </c>
    </row>
    <row r="21" ht="30" customHeight="1">
      <c r="A21" s="42" t="inlineStr">
        <is>
          <t>☐</t>
        </is>
      </c>
      <c r="B21" s="43" t="inlineStr">
        <is>
          <t>Servicios</t>
        </is>
      </c>
      <c r="C21" s="44" t="inlineStr">
        <is>
          <t>Gale Servicios</t>
        </is>
      </c>
      <c r="D21" s="45" t="inlineStr">
        <is>
          <t>Retiro de residuos — 100% ADELANTADO</t>
        </is>
      </c>
      <c r="E21" s="46" t="n">
        <v>1179.24</v>
      </c>
      <c r="F21" s="47" t="inlineStr">
        <is>
          <t>antes del evento</t>
        </is>
      </c>
      <c r="G21" s="43" t="inlineStr">
        <is>
          <t>Transferencia</t>
        </is>
      </c>
      <c r="H21" s="47" t="inlineStr">
        <is>
          <t>Yanina Cruz</t>
        </is>
      </c>
      <c r="I21" s="47" t="inlineStr">
        <is>
          <t>info@galeservicios.com</t>
        </is>
      </c>
      <c r="J21" s="48" t="inlineStr">
        <is>
          <t>Se factura 100% por adelantado. Trabajan con ARCILLEX; hay que estar dado de alta como generador.</t>
        </is>
      </c>
    </row>
    <row r="22" ht="30" customHeight="1">
      <c r="A22" s="42" t="inlineStr">
        <is>
          <t>☐</t>
        </is>
      </c>
      <c r="B22" s="43" t="inlineStr">
        <is>
          <t>Servicios</t>
        </is>
      </c>
      <c r="C22" s="44" t="inlineStr">
        <is>
          <t>La Rural</t>
        </is>
      </c>
      <c r="D22" s="45" t="inlineStr">
        <is>
          <t>Conectividad WiFi, 2 redes privadas</t>
        </is>
      </c>
      <c r="E22" s="46" t="n">
        <v>1174.79</v>
      </c>
      <c r="F22" s="47" t="inlineStr">
        <is>
          <t>a definir</t>
        </is>
      </c>
      <c r="G22" s="43" t="inlineStr">
        <is>
          <t>Transferencia</t>
        </is>
      </c>
      <c r="H22" s="47" t="inlineStr">
        <is>
          <t>Gonzalo</t>
        </is>
      </c>
      <c r="I22" s="47" t="inlineStr">
        <is>
          <t>conectividad@larural.com.ar</t>
        </is>
      </c>
      <c r="J22" s="48" t="inlineStr">
        <is>
          <t>Presupuesto N.º 2 del 05/08. Ajusta por IPC.</t>
        </is>
      </c>
    </row>
    <row r="23" ht="30" customHeight="1">
      <c r="A23" s="42" t="inlineStr">
        <is>
          <t>☐</t>
        </is>
      </c>
      <c r="B23" s="43" t="inlineStr">
        <is>
          <t>Servicios</t>
        </is>
      </c>
      <c r="C23" s="44" t="inlineStr">
        <is>
          <t>Chanes Seguros</t>
        </is>
      </c>
      <c r="D23" s="45" t="inlineStr">
        <is>
          <t>Seguro de accidentes, 150 personas</t>
        </is>
      </c>
      <c r="E23" s="46" t="n">
        <v>631.23</v>
      </c>
      <c r="F23" s="47" t="inlineStr">
        <is>
          <t>antes del armado</t>
        </is>
      </c>
      <c r="G23" s="43" t="inlineStr">
        <is>
          <t>Transferencia</t>
        </is>
      </c>
      <c r="H23" s="47" t="inlineStr">
        <is>
          <t>Néstor</t>
        </is>
      </c>
      <c r="I23" s="47" t="inlineStr">
        <is>
          <t>nestor@chanesseguros.com.ar</t>
        </is>
      </c>
      <c r="J23" s="48" t="inlineStr">
        <is>
          <t>Lo exige La Rural para habilitar. Premio único.</t>
        </is>
      </c>
    </row>
    <row r="24" ht="30" customHeight="1">
      <c r="A24" s="42" t="inlineStr">
        <is>
          <t>☐</t>
        </is>
      </c>
      <c r="B24" s="43" t="inlineStr">
        <is>
          <t>Mobiliario</t>
        </is>
      </c>
      <c r="C24" s="44" t="inlineStr">
        <is>
          <t>A definir</t>
        </is>
      </c>
      <c r="D24" s="45" t="inlineStr">
        <is>
          <t>Montaje, acomodación y desmontaje de sillas</t>
        </is>
      </c>
      <c r="E24" s="46" t="n">
        <v>596.03</v>
      </c>
      <c r="F24" s="47" t="inlineStr">
        <is>
          <t>a definir</t>
        </is>
      </c>
      <c r="G24" s="43" t="inlineStr">
        <is>
          <t>Transferencia</t>
        </is>
      </c>
      <c r="H24" s="47" t="inlineStr">
        <is>
          <t>—</t>
        </is>
      </c>
      <c r="I24" s="47" t="inlineStr">
        <is>
          <t>—</t>
        </is>
      </c>
      <c r="J24" s="48" t="inlineStr">
        <is>
          <t>EN NEGOCIACIÓN: cerrar el número antes de firmar las sillas.</t>
        </is>
      </c>
    </row>
    <row r="25" ht="24" customHeight="1">
      <c r="A25" s="49" t="inlineStr">
        <is>
          <t xml:space="preserve">   4 · PROGRAMADO</t>
        </is>
      </c>
      <c r="B25" s="50" t="n"/>
      <c r="C25" s="50" t="n"/>
      <c r="D25" s="50" t="n"/>
      <c r="E25" s="50" t="n"/>
      <c r="F25" s="50" t="n"/>
      <c r="G25" s="50" t="n"/>
      <c r="H25" s="50" t="n"/>
      <c r="I25" s="50" t="n"/>
      <c r="J25" s="51">
        <f>SUM(E26:E29)</f>
        <v/>
      </c>
    </row>
    <row r="26" ht="30" customHeight="1">
      <c r="A26" s="52" t="inlineStr">
        <is>
          <t>☐</t>
        </is>
      </c>
      <c r="B26" s="53" t="inlineStr">
        <is>
          <t>Merch</t>
        </is>
      </c>
      <c r="C26" s="54" t="inlineStr">
        <is>
          <t>REMERASYESTAMPADOS</t>
        </is>
      </c>
      <c r="D26" s="55" t="inlineStr">
        <is>
          <t>Pañuelos — saldo 50% (parte Argentina)</t>
        </is>
      </c>
      <c r="E26" s="56" t="n">
        <v>3429.73</v>
      </c>
      <c r="F26" s="57" t="inlineStr">
        <is>
          <t>13 sep</t>
        </is>
      </c>
      <c r="G26" s="53" t="inlineStr">
        <is>
          <t>USDT BEP20</t>
        </is>
      </c>
      <c r="H26" s="57" t="inlineStr">
        <is>
          <t>Leandro Petracci</t>
        </is>
      </c>
      <c r="I26" s="57" t="inlineStr">
        <is>
          <t>Uruguay 41, Villa Martelli</t>
        </is>
      </c>
      <c r="J26" s="58" t="inlineStr">
        <is>
          <t>Factura 2601019 por 5.276,51 USDT; a Argentina le toca el 65%.</t>
        </is>
      </c>
    </row>
    <row r="27" ht="30" customHeight="1">
      <c r="A27" s="52" t="inlineStr">
        <is>
          <t>☐</t>
        </is>
      </c>
      <c r="B27" s="53" t="inlineStr">
        <is>
          <t>Sede</t>
        </is>
      </c>
      <c r="C27" s="54" t="inlineStr">
        <is>
          <t>La Rural</t>
        </is>
      </c>
      <c r="D27" s="55" t="inlineStr">
        <is>
          <t>Saldo del contrato CC-00957, cuota 2 de 2</t>
        </is>
      </c>
      <c r="E27" s="56" t="n">
        <v>15777</v>
      </c>
      <c r="F27" s="57" t="inlineStr">
        <is>
          <t>23 sep</t>
        </is>
      </c>
      <c r="G27" s="53" t="inlineStr">
        <is>
          <t>Transferencia</t>
        </is>
      </c>
      <c r="H27" s="57" t="inlineStr">
        <is>
          <t>Victoria Grosi</t>
        </is>
      </c>
      <c r="I27" s="57" t="inlineStr">
        <is>
          <t>vgrosi@larural.com.ar</t>
        </is>
      </c>
      <c r="J27" s="58" t="inlineStr"/>
    </row>
    <row r="28" ht="30" customHeight="1">
      <c r="A28" s="52" t="inlineStr">
        <is>
          <t>☐</t>
        </is>
      </c>
      <c r="B28" s="53" t="inlineStr">
        <is>
          <t>Merch</t>
        </is>
      </c>
      <c r="C28" s="54" t="inlineStr">
        <is>
          <t>DERQUI IMPRESIONES</t>
        </is>
      </c>
      <c r="D28" s="55" t="inlineStr">
        <is>
          <t>Gráfica Argentina — saldo</t>
        </is>
      </c>
      <c r="E28" s="56" t="n">
        <v>1192.37</v>
      </c>
      <c r="F28" s="57" t="inlineStr">
        <is>
          <t>13 sep</t>
        </is>
      </c>
      <c r="G28" s="53" t="inlineStr">
        <is>
          <t>USDT BEP20</t>
        </is>
      </c>
      <c r="H28" s="57" t="inlineStr">
        <is>
          <t>Germán Marino · CUIT 20-37540906-3</t>
        </is>
      </c>
      <c r="I28" s="57" t="inlineStr">
        <is>
          <t>Charrúa 3366, CABA</t>
        </is>
      </c>
      <c r="J28" s="58" t="inlineStr">
        <is>
          <t>A CONFIRMAR: la factura 2601014 viene por el total, no por el saldo.</t>
        </is>
      </c>
    </row>
    <row r="29" ht="30" customHeight="1">
      <c r="A29" s="52" t="inlineStr">
        <is>
          <t>☐</t>
        </is>
      </c>
      <c r="B29" s="53" t="inlineStr">
        <is>
          <t>Merch</t>
        </is>
      </c>
      <c r="C29" s="54" t="inlineStr">
        <is>
          <t>LEOTEX</t>
        </is>
      </c>
      <c r="D29" s="55" t="inlineStr">
        <is>
          <t>Lanyards — saldo</t>
        </is>
      </c>
      <c r="E29" s="56" t="n">
        <v>816.1</v>
      </c>
      <c r="F29" s="57" t="inlineStr">
        <is>
          <t>13 sep</t>
        </is>
      </c>
      <c r="G29" s="53" t="inlineStr">
        <is>
          <t>USDT BEP20</t>
        </is>
      </c>
      <c r="H29" s="57" t="inlineStr">
        <is>
          <t>DNI 33914106</t>
        </is>
      </c>
      <c r="I29" s="57" t="inlineStr">
        <is>
          <t>Marengo 4178, Villa Ballester</t>
        </is>
      </c>
      <c r="J29" s="58" t="inlineStr">
        <is>
          <t>A CONFIRMAR: la factura 2601018 viene por el total, no por el saldo.</t>
        </is>
      </c>
    </row>
    <row r="30" ht="24" customHeight="1">
      <c r="A30" s="59" t="inlineStr">
        <is>
          <t xml:space="preserve">   5 · RESTO DEL SALDO — sin fecha acordada</t>
        </is>
      </c>
      <c r="B30" s="60" t="n"/>
      <c r="C30" s="60" t="n"/>
      <c r="D30" s="60" t="n"/>
      <c r="E30" s="60" t="n"/>
      <c r="F30" s="60" t="n"/>
      <c r="G30" s="60" t="n"/>
      <c r="H30" s="60" t="n"/>
      <c r="I30" s="60" t="n"/>
      <c r="J30" s="61">
        <f>SUM(E31:E35)</f>
        <v/>
      </c>
    </row>
    <row r="31" ht="30" customHeight="1">
      <c r="A31" s="62" t="inlineStr">
        <is>
          <t>☐</t>
        </is>
      </c>
      <c r="B31" s="63" t="inlineStr">
        <is>
          <t>Técnica</t>
        </is>
      </c>
      <c r="C31" s="64" t="inlineStr">
        <is>
          <t>Grupo MET · Lalo Aizenberg</t>
        </is>
      </c>
      <c r="D31" s="65" t="inlineStr">
        <is>
          <t>Producción técnica — saldo del 50%</t>
        </is>
      </c>
      <c r="E31" s="66" t="n">
        <v>30000</v>
      </c>
      <c r="F31" s="67" t="inlineStr">
        <is>
          <t>a definir</t>
        </is>
      </c>
      <c r="G31" s="63" t="inlineStr">
        <is>
          <t>Transferencia / Mercury</t>
        </is>
      </c>
      <c r="H31" s="67" t="inlineStr">
        <is>
          <t>Lalo Aizenberg</t>
        </is>
      </c>
      <c r="I31" s="67" t="inlineStr">
        <is>
          <t>11 6411-6748</t>
        </is>
      </c>
      <c r="J31" s="68" t="inlineStr">
        <is>
          <t>Falta el PDF con el alcance final.</t>
        </is>
      </c>
    </row>
    <row r="32" ht="30" customHeight="1">
      <c r="A32" s="62" t="inlineStr">
        <is>
          <t>☐</t>
        </is>
      </c>
      <c r="B32" s="63" t="inlineStr">
        <is>
          <t>Técnica</t>
        </is>
      </c>
      <c r="C32" s="64" t="inlineStr">
        <is>
          <t>Grupo MET · Lalo Aizenberg</t>
        </is>
      </c>
      <c r="D32" s="65" t="inlineStr">
        <is>
          <t>Entelado del pabellón</t>
        </is>
      </c>
      <c r="E32" s="66" t="n">
        <v>16225.17</v>
      </c>
      <c r="F32" s="67" t="inlineStr">
        <is>
          <t>a definir</t>
        </is>
      </c>
      <c r="G32" s="63" t="inlineStr">
        <is>
          <t>Transferencia</t>
        </is>
      </c>
      <c r="H32" s="67" t="inlineStr">
        <is>
          <t>Lalo Aizenberg</t>
        </is>
      </c>
      <c r="I32" s="67" t="inlineStr">
        <is>
          <t>11 6411-6748</t>
        </is>
      </c>
      <c r="J32" s="68" t="inlineStr"/>
    </row>
    <row r="33" ht="30" customHeight="1">
      <c r="A33" s="62" t="inlineStr">
        <is>
          <t>☐</t>
        </is>
      </c>
      <c r="B33" s="63" t="inlineStr">
        <is>
          <t>Técnica</t>
        </is>
      </c>
      <c r="C33" s="64" t="inlineStr">
        <is>
          <t>Grupo MET · Lalo Aizenberg</t>
        </is>
      </c>
      <c r="D33" s="65" t="inlineStr">
        <is>
          <t>Circuito cerrado de cámaras (CCTV)</t>
        </is>
      </c>
      <c r="E33" s="66" t="n">
        <v>6209</v>
      </c>
      <c r="F33" s="67" t="inlineStr">
        <is>
          <t>a definir</t>
        </is>
      </c>
      <c r="G33" s="63" t="inlineStr">
        <is>
          <t>Transferencia</t>
        </is>
      </c>
      <c r="H33" s="67" t="inlineStr">
        <is>
          <t>Lalo Aizenberg</t>
        </is>
      </c>
      <c r="I33" s="67" t="inlineStr">
        <is>
          <t>11 6411-6748</t>
        </is>
      </c>
      <c r="J33" s="68" t="inlineStr">
        <is>
          <t>Con grúa incluida.</t>
        </is>
      </c>
    </row>
    <row r="34" ht="30" customHeight="1">
      <c r="A34" s="62" t="inlineStr">
        <is>
          <t>☐</t>
        </is>
      </c>
      <c r="B34" s="63" t="inlineStr">
        <is>
          <t>Catering</t>
        </is>
      </c>
      <c r="C34" s="64" t="inlineStr">
        <is>
          <t>Grupo Ambient · Ángeles</t>
        </is>
      </c>
      <c r="D34" s="65" t="inlineStr">
        <is>
          <t>Catering — saldo del 50%</t>
        </is>
      </c>
      <c r="E34" s="66" t="n">
        <v>7284.5</v>
      </c>
      <c r="F34" s="67" t="inlineStr">
        <is>
          <t>a definir</t>
        </is>
      </c>
      <c r="G34" s="63" t="inlineStr">
        <is>
          <t>Transferencia</t>
        </is>
      </c>
      <c r="H34" s="67" t="inlineStr">
        <is>
          <t>Ángeles</t>
        </is>
      </c>
      <c r="I34" s="67" t="inlineStr">
        <is>
          <t>angeles@grupoambient.com.ar</t>
        </is>
      </c>
      <c r="J34" s="68" t="inlineStr"/>
    </row>
    <row r="35" ht="30" customHeight="1">
      <c r="A35" s="62" t="inlineStr">
        <is>
          <t>☐</t>
        </is>
      </c>
      <c r="B35" s="63" t="inlineStr">
        <is>
          <t>Servicios</t>
        </is>
      </c>
      <c r="C35" s="64" t="inlineStr">
        <is>
          <t>Higia Eventos</t>
        </is>
      </c>
      <c r="D35" s="65" t="inlineStr">
        <is>
          <t>Limpieza — saldo del 50%</t>
        </is>
      </c>
      <c r="E35" s="66" t="n">
        <v>1349.2</v>
      </c>
      <c r="F35" s="67" t="inlineStr">
        <is>
          <t>contra el evento</t>
        </is>
      </c>
      <c r="G35" s="63" t="inlineStr">
        <is>
          <t>Transferencia</t>
        </is>
      </c>
      <c r="H35" s="67" t="inlineStr">
        <is>
          <t>Malena Carrizo</t>
        </is>
      </c>
      <c r="I35" s="67" t="inlineStr">
        <is>
          <t>malena.carrizo@higiaeventos.com</t>
        </is>
      </c>
      <c r="J35" s="68" t="inlineStr"/>
    </row>
    <row r="36" ht="24" customHeight="1">
      <c r="A36" s="69" t="inlineStr">
        <is>
          <t xml:space="preserve">   6 · SIN COTIZAR — pedir presupuesto</t>
        </is>
      </c>
      <c r="B36" s="70" t="n"/>
      <c r="C36" s="70" t="n"/>
      <c r="D36" s="70" t="n"/>
      <c r="E36" s="70" t="n"/>
      <c r="F36" s="70" t="n"/>
      <c r="G36" s="70" t="n"/>
      <c r="H36" s="70" t="n"/>
      <c r="I36" s="70" t="n"/>
      <c r="J36" s="71">
        <f>SUM(E37:E40)</f>
        <v/>
      </c>
    </row>
    <row r="37" ht="30" customHeight="1">
      <c r="A37" s="72" t="inlineStr">
        <is>
          <t>☐</t>
        </is>
      </c>
      <c r="B37" s="73" t="inlineStr">
        <is>
          <t>Servicios</t>
        </is>
      </c>
      <c r="C37" s="74" t="inlineStr">
        <is>
          <t>A definir</t>
        </is>
      </c>
      <c r="D37" s="75" t="inlineStr">
        <is>
          <t>Ecobaños</t>
        </is>
      </c>
      <c r="E37" s="76" t="n"/>
      <c r="F37" s="77" t="inlineStr">
        <is>
          <t>pedir</t>
        </is>
      </c>
      <c r="G37" s="73" t="inlineStr">
        <is>
          <t>—</t>
        </is>
      </c>
      <c r="H37" s="77" t="inlineStr">
        <is>
          <t>—</t>
        </is>
      </c>
      <c r="I37" s="77" t="inlineStr">
        <is>
          <t>—</t>
        </is>
      </c>
      <c r="J37" s="78" t="inlineStr">
        <is>
          <t>Decidido que van ecobaños. Sin cotizar: hoy entra en cero.</t>
        </is>
      </c>
    </row>
    <row r="38" ht="30" customHeight="1">
      <c r="A38" s="72" t="inlineStr">
        <is>
          <t>☐</t>
        </is>
      </c>
      <c r="B38" s="73" t="inlineStr">
        <is>
          <t>Merch</t>
        </is>
      </c>
      <c r="C38" s="74" t="inlineStr">
        <is>
          <t>A definir</t>
        </is>
      </c>
      <c r="D38" s="75" t="inlineStr">
        <is>
          <t>Marquetería y enmarcado</t>
        </is>
      </c>
      <c r="E38" s="76" t="n"/>
      <c r="F38" s="77" t="inlineStr">
        <is>
          <t>pedir</t>
        </is>
      </c>
      <c r="G38" s="73" t="inlineStr">
        <is>
          <t>—</t>
        </is>
      </c>
      <c r="H38" s="77" t="inlineStr">
        <is>
          <t>—</t>
        </is>
      </c>
      <c r="I38" s="77" t="inlineStr">
        <is>
          <t>—</t>
        </is>
      </c>
      <c r="J38" s="78" t="inlineStr">
        <is>
          <t>Certificaciones y premios. Sin cotizar.</t>
        </is>
      </c>
    </row>
    <row r="39" ht="30" customHeight="1">
      <c r="A39" s="72" t="inlineStr">
        <is>
          <t>☐</t>
        </is>
      </c>
      <c r="B39" s="73" t="inlineStr">
        <is>
          <t>Merch</t>
        </is>
      </c>
      <c r="C39" s="74" t="inlineStr">
        <is>
          <t>A definir</t>
        </is>
      </c>
      <c r="D39" s="75" t="inlineStr">
        <is>
          <t>Cheques, escarapelas, diplomas, placas y manillas</t>
        </is>
      </c>
      <c r="E39" s="76" t="n"/>
      <c r="F39" s="77" t="inlineStr">
        <is>
          <t>pedir</t>
        </is>
      </c>
      <c r="G39" s="73" t="inlineStr">
        <is>
          <t>—</t>
        </is>
      </c>
      <c r="H39" s="77" t="inlineStr">
        <is>
          <t>—</t>
        </is>
      </c>
      <c r="I39" s="77" t="inlineStr">
        <is>
          <t>—</t>
        </is>
      </c>
      <c r="J39" s="78" t="inlineStr">
        <is>
          <t>Lo único del merch que las facturas no cubren.</t>
        </is>
      </c>
    </row>
    <row r="40" ht="30" customHeight="1">
      <c r="A40" s="72" t="inlineStr">
        <is>
          <t>☐</t>
        </is>
      </c>
      <c r="B40" s="73" t="inlineStr">
        <is>
          <t>Mobiliario</t>
        </is>
      </c>
      <c r="C40" s="74" t="inlineStr">
        <is>
          <t>A definir</t>
        </is>
      </c>
      <c r="D40" s="75" t="inlineStr">
        <is>
          <t>Replanteo de sillas con ingeniero</t>
        </is>
      </c>
      <c r="E40" s="76" t="n"/>
      <c r="F40" s="77" t="inlineStr">
        <is>
          <t>pedir</t>
        </is>
      </c>
      <c r="G40" s="73" t="inlineStr">
        <is>
          <t>—</t>
        </is>
      </c>
      <c r="H40" s="77" t="inlineStr">
        <is>
          <t>—</t>
        </is>
      </c>
      <c r="I40" s="77" t="inlineStr">
        <is>
          <t>—</t>
        </is>
      </c>
      <c r="J40" s="78" t="inlineStr">
        <is>
          <t>Va aparte de la dirección técnica de La Rural.</t>
        </is>
      </c>
    </row>
    <row r="41" ht="24" customHeight="1">
      <c r="A41" s="79" t="inlineStr">
        <is>
          <t xml:space="preserve">   7 · AJUSTE DE CONCILIACIÓN</t>
        </is>
      </c>
      <c r="B41" s="80" t="n"/>
      <c r="C41" s="80" t="n"/>
      <c r="D41" s="80" t="n"/>
      <c r="E41" s="80" t="n"/>
      <c r="F41" s="80" t="n"/>
      <c r="G41" s="80" t="n"/>
      <c r="H41" s="80" t="n"/>
      <c r="I41" s="80" t="n"/>
      <c r="J41" s="81">
        <f>SUM(E42:E42)</f>
        <v/>
      </c>
    </row>
    <row r="42" ht="30" customHeight="1">
      <c r="A42" s="82" t="inlineStr">
        <is>
          <t>☐</t>
        </is>
      </c>
      <c r="B42" s="83" t="inlineStr">
        <is>
          <t>Merch</t>
        </is>
      </c>
      <c r="C42" s="84" t="inlineStr">
        <is>
          <t>—</t>
        </is>
      </c>
      <c r="D42" s="85" t="inlineStr">
        <is>
          <t>Diferencia de tipo de cambio y saldo de gráfica a confirmar</t>
        </is>
      </c>
      <c r="E42" s="86" t="n">
        <v>590.59</v>
      </c>
      <c r="F42" s="87" t="inlineStr">
        <is>
          <t>—</t>
        </is>
      </c>
      <c r="G42" s="83" t="inlineStr">
        <is>
          <t>—</t>
        </is>
      </c>
      <c r="H42" s="87" t="inlineStr">
        <is>
          <t>—</t>
        </is>
      </c>
      <c r="I42" s="87" t="inlineStr">
        <is>
          <t>—</t>
        </is>
      </c>
      <c r="J42" s="88" t="inlineStr">
        <is>
          <t>Las facturas de merch se emitieron a dólar $1.535 y los pagos de junio se hicieron a $1.475, así que las mitades no suman exacto. El grueso es el saldo de la gráfica de Argentina: el master dice US$1.839 y la factura 2601014 viene por US$2.385.</t>
        </is>
      </c>
    </row>
    <row r="44" ht="30" customHeight="1">
      <c r="A44" s="89" t="inlineStr">
        <is>
          <t xml:space="preserve">   TOTAL A DESEMBOLSAR</t>
        </is>
      </c>
      <c r="B44" s="90" t="n"/>
      <c r="C44" s="90" t="n"/>
      <c r="D44" s="90" t="n"/>
      <c r="E44" s="91">
        <f>J8+J12+J15+J25+J30+J36+J41</f>
        <v/>
      </c>
      <c r="F44" s="90" t="n"/>
      <c r="G44" s="90" t="n"/>
      <c r="H44" s="90" t="n"/>
      <c r="I44" s="90" t="n"/>
      <c r="J44" s="90" t="n"/>
    </row>
    <row r="46">
      <c r="B46" s="92" t="inlineStr">
        <is>
          <t>Marcá la columna ✔ a medida que salen los pagos: la fila se pinta de verde sola.</t>
        </is>
      </c>
    </row>
    <row r="47">
      <c r="B47" s="92" t="inlineStr">
        <is>
          <t>Los tramos están ordenados por urgencia. El 1 es lo vencido o ya facturado; el 2, los anticipos del 50% que destraban técnica y catering.</t>
        </is>
      </c>
    </row>
    <row r="48">
      <c r="B48" s="92" t="inlineStr">
        <is>
          <t>Los pagos de merch van en USDT por red BEP20. Remerasyestampados: 0xae874c3db52ca1e45604549a5527f450a877b97a · Leotex y Derqui: 0x7d0a6c347008305af1d6643c2382e1495af7dc0e. Verificá la dirección con el proveedor antes de operar.</t>
        </is>
      </c>
    </row>
    <row r="49">
      <c r="B49" s="92" t="inlineStr">
        <is>
          <t>FDL Eventos y Vittal todavía no confirmaron si pueden facturar a la empresa de EE.UU.: son US$25.333 trabados por un tema administrativo.</t>
        </is>
      </c>
    </row>
    <row r="50">
      <c r="B50" s="92" t="inlineStr">
        <is>
          <t>Higia pide 50% de anticipo antes del armado y Gale factura el 100% por adelantado.</t>
        </is>
      </c>
    </row>
  </sheetData>
  <autoFilter ref="A7:J42"/>
  <mergeCells count="18">
    <mergeCell ref="A15:I15"/>
    <mergeCell ref="F4:G4"/>
    <mergeCell ref="A1:J1"/>
    <mergeCell ref="A25:I25"/>
    <mergeCell ref="A41:I41"/>
    <mergeCell ref="A5:C5"/>
    <mergeCell ref="H5:J5"/>
    <mergeCell ref="F5:G5"/>
    <mergeCell ref="D5:E5"/>
    <mergeCell ref="H4:J4"/>
    <mergeCell ref="A36:I36"/>
    <mergeCell ref="D4:E4"/>
    <mergeCell ref="A8:I8"/>
    <mergeCell ref="A12:I12"/>
    <mergeCell ref="A2:J2"/>
    <mergeCell ref="A4:C4"/>
    <mergeCell ref="A30:I30"/>
    <mergeCell ref="A44:D44"/>
  </mergeCells>
  <conditionalFormatting sqref="A8:J42">
    <cfRule type="expression" priority="1" dxfId="0" stopIfTrue="0">
      <formula>$A8="✔"</formula>
    </cfRule>
  </conditionalFormatting>
  <dataValidations count="1">
    <dataValidation sqref="A9 A10 A11 A13 A14 A16 A17 A18 A19 A20 A21 A22 A23 A24 A26 A27 A28 A29 A31 A32 A33 A34 A35 A37 A38 A39 A40 A42" showDropDown="0" showInputMessage="0" showErrorMessage="0" allowBlank="1" type="list">
      <formula1>"☐,✔"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30" customWidth="1" min="2" max="2"/>
    <col width="38" customWidth="1" min="3" max="3"/>
    <col width="40" customWidth="1" min="4" max="4"/>
  </cols>
  <sheetData>
    <row r="1" ht="34" customHeight="1">
      <c r="A1" s="93" t="inlineStr">
        <is>
          <t>CONTACTOS DE PROVEEDORES</t>
        </is>
      </c>
      <c r="B1" s="2" t="n"/>
      <c r="C1" s="2" t="n"/>
      <c r="D1" s="2" t="n"/>
    </row>
    <row r="3" ht="22" customHeight="1">
      <c r="A3" s="94" t="inlineStr">
        <is>
          <t>Proveedor</t>
        </is>
      </c>
      <c r="B3" s="94" t="inlineStr">
        <is>
          <t>Persona</t>
        </is>
      </c>
      <c r="C3" s="94" t="inlineStr">
        <is>
          <t>Mail</t>
        </is>
      </c>
      <c r="D3" s="94" t="inlineStr">
        <is>
          <t>Teléfono / dato fiscal</t>
        </is>
      </c>
    </row>
    <row r="4" ht="22" customHeight="1">
      <c r="A4" s="95" t="inlineStr">
        <is>
          <t>La Rural — contrato y eventos</t>
        </is>
      </c>
      <c r="B4" s="96" t="inlineStr">
        <is>
          <t>Victoria Grosi</t>
        </is>
      </c>
      <c r="C4" s="96" t="inlineStr">
        <is>
          <t>vgrosi@larural.com.ar</t>
        </is>
      </c>
      <c r="D4" s="96" t="inlineStr">
        <is>
          <t>congresosyeventos@larural.com.ar</t>
        </is>
      </c>
    </row>
    <row r="5" ht="22" customHeight="1">
      <c r="A5" s="97" t="inlineStr">
        <is>
          <t>La Rural — infraestructura</t>
        </is>
      </c>
      <c r="B5" s="98" t="inlineStr">
        <is>
          <t>Arq. Christian Riccio</t>
        </is>
      </c>
      <c r="C5" s="98" t="inlineStr">
        <is>
          <t>criccio@larural.com.ar</t>
        </is>
      </c>
      <c r="D5" s="98" t="inlineStr">
        <is>
          <t>+54 9 11 3481-2179</t>
        </is>
      </c>
    </row>
    <row r="6" ht="22" customHeight="1">
      <c r="A6" s="95" t="inlineStr">
        <is>
          <t>La Rural — conectividad</t>
        </is>
      </c>
      <c r="B6" s="96" t="inlineStr">
        <is>
          <t>Gonzalo</t>
        </is>
      </c>
      <c r="C6" s="96" t="inlineStr">
        <is>
          <t>conectividad@larural.com.ar</t>
        </is>
      </c>
      <c r="D6" s="96" t="inlineStr">
        <is>
          <t>—</t>
        </is>
      </c>
    </row>
    <row r="7" ht="22" customHeight="1">
      <c r="A7" s="97" t="inlineStr">
        <is>
          <t>Grupo MET — técnica y entelado</t>
        </is>
      </c>
      <c r="B7" s="98" t="inlineStr">
        <is>
          <t>Lalo Aizenberg</t>
        </is>
      </c>
      <c r="C7" s="98" t="inlineStr">
        <is>
          <t>lalo@somosgrupomet.com</t>
        </is>
      </c>
      <c r="D7" s="98" t="inlineStr">
        <is>
          <t>11 6411-6748</t>
        </is>
      </c>
    </row>
    <row r="8" ht="22" customHeight="1">
      <c r="A8" s="95" t="inlineStr">
        <is>
          <t>Grupo Ambient — catering</t>
        </is>
      </c>
      <c r="B8" s="96" t="inlineStr">
        <is>
          <t>Ángeles</t>
        </is>
      </c>
      <c r="C8" s="96" t="inlineStr">
        <is>
          <t>angeles@grupoambient.com.ar</t>
        </is>
      </c>
      <c r="D8" s="96" t="inlineStr">
        <is>
          <t>—</t>
        </is>
      </c>
    </row>
    <row r="9" ht="22" customHeight="1">
      <c r="A9" s="97" t="inlineStr">
        <is>
          <t>FDL Eventos — sillas</t>
        </is>
      </c>
      <c r="B9" s="98" t="inlineStr">
        <is>
          <t>Federico</t>
        </is>
      </c>
      <c r="C9" s="98" t="inlineStr">
        <is>
          <t>fdleventos@gmail.com</t>
        </is>
      </c>
      <c r="D9" s="98" t="inlineStr">
        <is>
          <t>11 4403-0698 / 11 4040-7012</t>
        </is>
      </c>
    </row>
    <row r="10" ht="22" customHeight="1">
      <c r="A10" s="95" t="inlineStr">
        <is>
          <t>Road Seguridad S.A.</t>
        </is>
      </c>
      <c r="B10" s="96" t="inlineStr">
        <is>
          <t>Javier Celiz</t>
        </is>
      </c>
      <c r="C10" s="96" t="inlineStr">
        <is>
          <t>presupuestos@roadseguridad.com.ar</t>
        </is>
      </c>
      <c r="D10" s="96" t="inlineStr">
        <is>
          <t>Cel 11 6303-7845 · Of. 4756-5691/1435</t>
        </is>
      </c>
    </row>
    <row r="11" ht="22" customHeight="1">
      <c r="A11" s="97" t="inlineStr">
        <is>
          <t>Vittal — servicio médico</t>
        </is>
      </c>
      <c r="B11" s="98" t="inlineStr">
        <is>
          <t>—</t>
        </is>
      </c>
      <c r="C11" s="98" t="inlineStr">
        <is>
          <t>vtomas@vittal.com.ar</t>
        </is>
      </c>
      <c r="D11" s="98" t="inlineStr">
        <is>
          <t>—</t>
        </is>
      </c>
    </row>
    <row r="12" ht="22" customHeight="1">
      <c r="A12" s="95" t="inlineStr">
        <is>
          <t>Higia Eventos — limpieza</t>
        </is>
      </c>
      <c r="B12" s="96" t="inlineStr">
        <is>
          <t>Malena Carrizo / Yanina Cruz</t>
        </is>
      </c>
      <c r="C12" s="96" t="inlineStr">
        <is>
          <t>malena.carrizo@higiaeventos.com</t>
        </is>
      </c>
      <c r="D12" s="96" t="inlineStr">
        <is>
          <t>yanina.cruz@higiaeventos.com</t>
        </is>
      </c>
    </row>
    <row r="13" ht="22" customHeight="1">
      <c r="A13" s="97" t="inlineStr">
        <is>
          <t>Gale Servicios — residuos</t>
        </is>
      </c>
      <c r="B13" s="98" t="inlineStr">
        <is>
          <t>Yanina Cruz</t>
        </is>
      </c>
      <c r="C13" s="98" t="inlineStr">
        <is>
          <t>info@galeservicios.com</t>
        </is>
      </c>
      <c r="D13" s="98" t="inlineStr">
        <is>
          <t>—</t>
        </is>
      </c>
    </row>
    <row r="14" ht="22" customHeight="1">
      <c r="A14" s="95" t="inlineStr">
        <is>
          <t>Chanes Seguros</t>
        </is>
      </c>
      <c r="B14" s="96" t="inlineStr">
        <is>
          <t>Néstor</t>
        </is>
      </c>
      <c r="C14" s="96" t="inlineStr">
        <is>
          <t>nestor@chanesseguros.com.ar</t>
        </is>
      </c>
      <c r="D14" s="96" t="inlineStr">
        <is>
          <t>—</t>
        </is>
      </c>
    </row>
    <row r="15" ht="22" customHeight="1">
      <c r="A15" s="97" t="inlineStr">
        <is>
          <t>REMERASYESTAMPADOS — pañuelos, remeras, bordado</t>
        </is>
      </c>
      <c r="B15" s="98" t="inlineStr">
        <is>
          <t>Leandro Petracci</t>
        </is>
      </c>
      <c r="C15" s="98" t="inlineStr">
        <is>
          <t>CUIT 20-30367082-4</t>
        </is>
      </c>
      <c r="D15" s="98" t="inlineStr">
        <is>
          <t>Uruguay 41, Villa Martelli</t>
        </is>
      </c>
    </row>
    <row r="16" ht="22" customHeight="1">
      <c r="A16" s="95" t="inlineStr">
        <is>
          <t>DERQUI IMPRESIONES — gráfica</t>
        </is>
      </c>
      <c r="B16" s="96" t="inlineStr">
        <is>
          <t>Germán Marino</t>
        </is>
      </c>
      <c r="C16" s="96" t="inlineStr">
        <is>
          <t>CUIT 20-37540906-3</t>
        </is>
      </c>
      <c r="D16" s="96" t="inlineStr">
        <is>
          <t>Charrúa 3366, CABA</t>
        </is>
      </c>
    </row>
    <row r="17" ht="22" customHeight="1">
      <c r="A17" s="97" t="inlineStr">
        <is>
          <t>LEOTEX — lanyards</t>
        </is>
      </c>
      <c r="B17" s="98" t="inlineStr">
        <is>
          <t>—</t>
        </is>
      </c>
      <c r="C17" s="98" t="inlineStr">
        <is>
          <t>DNI 33914106</t>
        </is>
      </c>
      <c r="D17" s="98" t="inlineStr">
        <is>
          <t>Marengo 4178, Villa Ballester</t>
        </is>
      </c>
    </row>
    <row r="18" ht="22" customHeight="1">
      <c r="A18" s="95" t="inlineStr">
        <is>
          <t>TEXTIL RYU — gorras</t>
        </is>
      </c>
      <c r="B18" s="96" t="inlineStr">
        <is>
          <t>—</t>
        </is>
      </c>
      <c r="C18" s="96" t="inlineStr">
        <is>
          <t>CUIT 30-71927319-6</t>
        </is>
      </c>
      <c r="D18" s="96" t="inlineStr">
        <is>
          <t>Larrea 377, Balvanera · YA PAGADO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  <col width="12" customWidth="1" min="4" max="4"/>
  </cols>
  <sheetData>
    <row r="1" ht="34" customHeight="1">
      <c r="A1" s="93" t="inlineStr">
        <is>
          <t>RESUMEN POR TRAMO</t>
        </is>
      </c>
      <c r="B1" s="2" t="n"/>
      <c r="C1" s="2" t="n"/>
      <c r="D1" s="2" t="n"/>
    </row>
    <row r="3">
      <c r="A3" s="94" t="inlineStr">
        <is>
          <t>Tramo</t>
        </is>
      </c>
      <c r="B3" s="94" t="inlineStr">
        <is>
          <t>USD</t>
        </is>
      </c>
      <c r="C3" s="94" t="inlineStr"/>
      <c r="D3" s="94" t="inlineStr">
        <is>
          <t>% del total</t>
        </is>
      </c>
    </row>
    <row r="4" ht="22" customHeight="1">
      <c r="A4" s="99" t="inlineStr">
        <is>
          <t>1 · VENCIDO O YA FACTURADO</t>
        </is>
      </c>
      <c r="B4" s="100">
        <f>CHECKLIST!J8</f>
        <v/>
      </c>
      <c r="C4" s="101">
        <f>REPT("|",ROUND(B4/$B$12*60,0))</f>
        <v/>
      </c>
      <c r="D4" s="102">
        <f>B4/$B$12</f>
        <v/>
      </c>
    </row>
    <row r="5" ht="22" customHeight="1">
      <c r="A5" s="103" t="inlineStr">
        <is>
          <t>2 · ANTICIPOS QUE DESTRABAN CONTRATOS</t>
        </is>
      </c>
      <c r="B5" s="104">
        <f>CHECKLIST!J12</f>
        <v/>
      </c>
      <c r="C5" s="105">
        <f>REPT("|",ROUND(B5/$B$12*60,0))</f>
        <v/>
      </c>
      <c r="D5" s="106">
        <f>B5/$B$12</f>
        <v/>
      </c>
    </row>
    <row r="6" ht="22" customHeight="1">
      <c r="A6" s="107" t="inlineStr">
        <is>
          <t>3 · PROVEEDORES DEL PREDIO — firmar y señar</t>
        </is>
      </c>
      <c r="B6" s="108">
        <f>CHECKLIST!J15</f>
        <v/>
      </c>
      <c r="C6" s="109">
        <f>REPT("|",ROUND(B6/$B$12*60,0))</f>
        <v/>
      </c>
      <c r="D6" s="110">
        <f>B6/$B$12</f>
        <v/>
      </c>
    </row>
    <row r="7" ht="22" customHeight="1">
      <c r="A7" s="111" t="inlineStr">
        <is>
          <t>4 · PROGRAMADO</t>
        </is>
      </c>
      <c r="B7" s="112">
        <f>CHECKLIST!J25</f>
        <v/>
      </c>
      <c r="C7" s="113">
        <f>REPT("|",ROUND(B7/$B$12*60,0))</f>
        <v/>
      </c>
      <c r="D7" s="114">
        <f>B7/$B$12</f>
        <v/>
      </c>
    </row>
    <row r="8" ht="22" customHeight="1">
      <c r="A8" s="115" t="inlineStr">
        <is>
          <t>5 · RESTO DEL SALDO — sin fecha acordada</t>
        </is>
      </c>
      <c r="B8" s="116">
        <f>CHECKLIST!J30</f>
        <v/>
      </c>
      <c r="C8" s="117">
        <f>REPT("|",ROUND(B8/$B$12*60,0))</f>
        <v/>
      </c>
      <c r="D8" s="118">
        <f>B8/$B$12</f>
        <v/>
      </c>
    </row>
    <row r="9" ht="22" customHeight="1">
      <c r="A9" s="119" t="inlineStr">
        <is>
          <t>6 · SIN COTIZAR — pedir presupuesto</t>
        </is>
      </c>
      <c r="B9" s="120">
        <f>CHECKLIST!J36</f>
        <v/>
      </c>
      <c r="C9" s="121">
        <f>REPT("|",ROUND(B9/$B$12*60,0))</f>
        <v/>
      </c>
      <c r="D9" s="122">
        <f>B9/$B$12</f>
        <v/>
      </c>
    </row>
    <row r="10" ht="22" customHeight="1">
      <c r="A10" s="123" t="inlineStr">
        <is>
          <t>7 · AJUSTE DE CONCILIACIÓN</t>
        </is>
      </c>
      <c r="B10" s="124">
        <f>CHECKLIST!J41</f>
        <v/>
      </c>
      <c r="C10" s="125">
        <f>REPT("|",ROUND(B10/$B$12*60,0))</f>
        <v/>
      </c>
      <c r="D10" s="126">
        <f>B10/$B$12</f>
        <v/>
      </c>
    </row>
    <row r="12" ht="28" customHeight="1">
      <c r="A12" s="127" t="inlineStr">
        <is>
          <t>TOTAL A DESEMBOLSAR</t>
        </is>
      </c>
      <c r="B12" s="128">
        <f>SUM(B4:B10)</f>
        <v/>
      </c>
      <c r="C12" s="129" t="n"/>
      <c r="D12" s="129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2026-09-04T00:50:18Z</dcterms:created>
  <dcterms:modified xsi:type="dcterms:W3CDTF">2026-09-04T00:50:18Z</dcterms:modified>
</cp:coreProperties>
</file>