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" sheetId="1" state="visible" r:id="rId1"/>
    <sheet name="DATOS BANCARIOS" sheetId="2" state="visible" r:id="rId2"/>
    <sheet name="ALERTAS" sheetId="3" state="visible" r:id="rId3"/>
    <sheet name="RESUMEN" sheetId="4" state="visible" r:id="rId4"/>
  </sheets>
  <definedNames>
    <definedName name="_xlnm._FilterDatabase" localSheetId="0" hidden="1">'CONTROL'!$A$4:$O$33</definedName>
    <definedName name="_xlnm._FilterDatabase" localSheetId="1" hidden="1">'DATOS BANCARIOS'!$A$4:$K$19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;(&quot;$&quot;#,##0.00);-"/>
    <numFmt numFmtId="165" formatCode="&quot;US$&quot;#,##0.00;(&quot;US$&quot;#,##0.00);-"/>
    <numFmt numFmtId="166" formatCode="&quot;$&quot;#,##0;(&quot;$&quot;#,##0);-"/>
    <numFmt numFmtId="167" formatCode="&quot;US$&quot;#,##0;(&quot;US$&quot;#,##0);-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color rgb="00566573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618D"/>
      <sz val="9"/>
    </font>
    <font>
      <name val="Arial"/>
      <b val="1"/>
      <color rgb="00117A65"/>
      <sz val="9"/>
    </font>
    <font>
      <name val="Arial"/>
      <b val="1"/>
      <color rgb="00CA6F1E"/>
      <sz val="9"/>
    </font>
    <font>
      <name val="Arial"/>
      <b val="1"/>
      <color rgb="00C0392B"/>
      <sz val="9"/>
    </font>
    <font>
      <name val="Arial"/>
      <b val="1"/>
      <color rgb="0085929E"/>
      <sz val="9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color rgb="001F3864"/>
      <sz val="9"/>
    </font>
    <font>
      <name val="Arial"/>
      <b val="1"/>
      <color rgb="007D6608"/>
      <sz val="9"/>
    </font>
    <font>
      <name val="Arial"/>
      <color rgb="00C0392B"/>
      <sz val="11"/>
    </font>
    <font>
      <name val="Arial"/>
      <color rgb="001F618D"/>
      <sz val="11"/>
    </font>
    <font>
      <name val="Arial"/>
      <color rgb="00CA6F1E"/>
      <sz val="11"/>
    </font>
    <font>
      <name val="Arial"/>
      <color rgb="00117A65"/>
      <sz val="11"/>
    </font>
    <font>
      <name val="Arial"/>
      <color rgb="0085929E"/>
      <sz val="11"/>
    </font>
    <font>
      <name val="Arial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5FB"/>
      </patternFill>
    </fill>
    <fill>
      <patternFill patternType="solid">
        <fgColor rgb="00E8F6F3"/>
      </patternFill>
    </fill>
    <fill>
      <patternFill patternType="solid">
        <fgColor rgb="00FDF2E9"/>
      </patternFill>
    </fill>
    <fill>
      <patternFill patternType="solid">
        <fgColor rgb="00FDEDEC"/>
      </patternFill>
    </fill>
    <fill>
      <patternFill patternType="solid">
        <fgColor rgb="00F2F4F4"/>
      </patternFill>
    </fill>
    <fill>
      <patternFill patternType="solid">
        <fgColor rgb="00F4F6F7"/>
      </patternFill>
    </fill>
    <fill>
      <patternFill patternType="solid">
        <fgColor rgb="00FFFFFF"/>
      </patternFill>
    </fill>
    <fill>
      <patternFill patternType="solid">
        <fgColor rgb="00FCF3CF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2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left" vertical="center" wrapText="1" inden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left" vertical="center" indent="1"/>
    </xf>
    <xf numFmtId="164" fontId="4" fillId="3" borderId="1" applyAlignment="1" pivotButton="0" quotePrefix="0" xfId="0">
      <alignment horizontal="left" vertical="center" indent="1"/>
    </xf>
    <xf numFmtId="9" fontId="5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left" vertical="center" indent="1"/>
    </xf>
    <xf numFmtId="165" fontId="4" fillId="4" borderId="1" applyAlignment="1" pivotButton="0" quotePrefix="0" xfId="0">
      <alignment horizontal="left" vertical="center" indent="1"/>
    </xf>
    <xf numFmtId="9" fontId="5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2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left" vertical="center" indent="1"/>
    </xf>
    <xf numFmtId="164" fontId="4" fillId="5" borderId="1" applyAlignment="1" pivotButton="0" quotePrefix="0" xfId="0">
      <alignment horizontal="left" vertical="center" indent="1"/>
    </xf>
    <xf numFmtId="9" fontId="5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left" vertical="center" indent="1"/>
    </xf>
    <xf numFmtId="0" fontId="2" fillId="5" borderId="1" applyAlignment="1" pivotButton="0" quotePrefix="0" xfId="0">
      <alignment horizontal="left" vertical="center" indent="1"/>
    </xf>
    <xf numFmtId="0" fontId="2" fillId="5" borderId="1" applyAlignment="1" pivotButton="0" quotePrefix="0" xfId="0">
      <alignment horizontal="left" vertical="center" wrapText="1" indent="1"/>
    </xf>
    <xf numFmtId="0" fontId="4" fillId="6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indent="1"/>
    </xf>
    <xf numFmtId="0" fontId="2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left" vertical="center" indent="1"/>
    </xf>
    <xf numFmtId="164" fontId="4" fillId="6" borderId="1" applyAlignment="1" pivotButton="0" quotePrefix="0" xfId="0">
      <alignment horizontal="left" vertical="center" indent="1"/>
    </xf>
    <xf numFmtId="9" fontId="5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left" vertical="center" indent="1"/>
    </xf>
    <xf numFmtId="0" fontId="2" fillId="6" borderId="1" applyAlignment="1" pivotButton="0" quotePrefix="0" xfId="0">
      <alignment horizontal="left" vertical="center" indent="1"/>
    </xf>
    <xf numFmtId="0" fontId="2" fillId="6" borderId="1" applyAlignment="1" pivotButton="0" quotePrefix="0" xfId="0">
      <alignment horizontal="left" vertical="center" wrapText="1" indent="1"/>
    </xf>
    <xf numFmtId="165" fontId="5" fillId="6" borderId="1" applyAlignment="1" pivotButton="0" quotePrefix="0" xfId="0">
      <alignment horizontal="left" vertical="center" indent="1"/>
    </xf>
    <xf numFmtId="165" fontId="5" fillId="3" borderId="1" applyAlignment="1" pivotButton="0" quotePrefix="0" xfId="0">
      <alignment horizontal="left" vertical="center" indent="1"/>
    </xf>
    <xf numFmtId="164" fontId="5" fillId="4" borderId="1" applyAlignment="1" pivotButton="0" quotePrefix="0" xfId="0">
      <alignment horizontal="left" vertical="center" indent="1"/>
    </xf>
    <xf numFmtId="164" fontId="4" fillId="4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left" vertical="center" wrapText="1" indent="1"/>
    </xf>
    <xf numFmtId="0" fontId="5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indent="1"/>
    </xf>
    <xf numFmtId="0" fontId="2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left" vertical="center" indent="1"/>
    </xf>
    <xf numFmtId="164" fontId="4" fillId="7" borderId="1" applyAlignment="1" pivotButton="0" quotePrefix="0" xfId="0">
      <alignment horizontal="left" vertical="center" indent="1"/>
    </xf>
    <xf numFmtId="9" fontId="5" fillId="7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left" vertical="center" indent="1"/>
    </xf>
    <xf numFmtId="0" fontId="2" fillId="7" borderId="1" applyAlignment="1" pivotButton="0" quotePrefix="0" xfId="0">
      <alignment horizontal="left" vertical="center" indent="1"/>
    </xf>
    <xf numFmtId="0" fontId="2" fillId="7" borderId="1" applyAlignment="1" pivotButton="0" quotePrefix="0" xfId="0">
      <alignment horizontal="left" vertical="center" wrapText="1" indent="1"/>
    </xf>
    <xf numFmtId="0" fontId="0" fillId="2" borderId="1" pivotButton="0" quotePrefix="0" xfId="0"/>
    <xf numFmtId="0" fontId="11" fillId="2" borderId="1" pivotButton="0" quotePrefix="0" xfId="0"/>
    <xf numFmtId="166" fontId="12" fillId="2" borderId="1" pivotButton="0" quotePrefix="0" xfId="0"/>
    <xf numFmtId="167" fontId="12" fillId="2" borderId="1" pivotButton="0" quotePrefix="0" xfId="0"/>
    <xf numFmtId="0" fontId="4" fillId="8" borderId="1" applyAlignment="1" pivotButton="0" quotePrefix="0" xfId="0">
      <alignment vertical="center" indent="1"/>
    </xf>
    <xf numFmtId="0" fontId="5" fillId="8" borderId="1" applyAlignment="1" pivotButton="0" quotePrefix="0" xfId="0">
      <alignment vertical="center" wrapText="1" indent="1"/>
    </xf>
    <xf numFmtId="0" fontId="5" fillId="8" borderId="1" applyAlignment="1" pivotButton="0" quotePrefix="0" xfId="0">
      <alignment vertical="center" indent="1"/>
    </xf>
    <xf numFmtId="0" fontId="13" fillId="8" borderId="1" applyAlignment="1" pivotButton="0" quotePrefix="0" xfId="0">
      <alignment vertical="center" wrapText="1" indent="1"/>
    </xf>
    <xf numFmtId="0" fontId="4" fillId="9" borderId="1" applyAlignment="1" pivotButton="0" quotePrefix="0" xfId="0">
      <alignment vertical="center" indent="1"/>
    </xf>
    <xf numFmtId="0" fontId="5" fillId="9" borderId="1" applyAlignment="1" pivotButton="0" quotePrefix="0" xfId="0">
      <alignment vertical="center" wrapText="1" indent="1"/>
    </xf>
    <xf numFmtId="0" fontId="5" fillId="9" borderId="1" applyAlignment="1" pivotButton="0" quotePrefix="0" xfId="0">
      <alignment vertical="center" indent="1"/>
    </xf>
    <xf numFmtId="0" fontId="13" fillId="9" borderId="1" applyAlignment="1" pivotButton="0" quotePrefix="0" xfId="0">
      <alignment vertical="center" wrapText="1" indent="1"/>
    </xf>
    <xf numFmtId="0" fontId="9" fillId="6" borderId="1" applyAlignment="1" pivotButton="0" quotePrefix="0" xfId="0">
      <alignment vertical="center" indent="1"/>
    </xf>
    <xf numFmtId="0" fontId="4" fillId="6" borderId="1" applyAlignment="1" pivotButton="0" quotePrefix="0" xfId="0">
      <alignment vertical="center" indent="1"/>
    </xf>
    <xf numFmtId="0" fontId="5" fillId="6" borderId="1" applyAlignment="1" pivotButton="0" quotePrefix="0" xfId="0">
      <alignment vertical="center" wrapText="1" indent="1"/>
    </xf>
    <xf numFmtId="0" fontId="2" fillId="6" borderId="1" applyAlignment="1" pivotButton="0" quotePrefix="0" xfId="0">
      <alignment vertical="center" indent="1"/>
    </xf>
    <xf numFmtId="0" fontId="14" fillId="10" borderId="1" applyAlignment="1" pivotButton="0" quotePrefix="0" xfId="0">
      <alignment vertical="center" indent="1"/>
    </xf>
    <xf numFmtId="0" fontId="4" fillId="10" borderId="1" applyAlignment="1" pivotButton="0" quotePrefix="0" xfId="0">
      <alignment vertical="center" indent="1"/>
    </xf>
    <xf numFmtId="0" fontId="5" fillId="10" borderId="1" applyAlignment="1" pivotButton="0" quotePrefix="0" xfId="0">
      <alignment vertical="center" wrapText="1" indent="1"/>
    </xf>
    <xf numFmtId="0" fontId="2" fillId="10" borderId="1" applyAlignment="1" pivotButton="0" quotePrefix="0" xfId="0">
      <alignment vertical="center" indent="1"/>
    </xf>
    <xf numFmtId="0" fontId="6" fillId="3" borderId="1" applyAlignment="1" pivotButton="0" quotePrefix="0" xfId="0">
      <alignment vertical="center" indent="1"/>
    </xf>
    <xf numFmtId="0" fontId="4" fillId="3" borderId="1" applyAlignment="1" pivotButton="0" quotePrefix="0" xfId="0">
      <alignment vertical="center" indent="1"/>
    </xf>
    <xf numFmtId="0" fontId="5" fillId="3" borderId="1" applyAlignment="1" pivotButton="0" quotePrefix="0" xfId="0">
      <alignment vertical="center" wrapText="1" indent="1"/>
    </xf>
    <xf numFmtId="0" fontId="2" fillId="3" borderId="1" applyAlignment="1" pivotButton="0" quotePrefix="0" xfId="0">
      <alignment vertical="center" indent="1"/>
    </xf>
    <xf numFmtId="0" fontId="4" fillId="6" borderId="1" applyAlignment="1" pivotButton="0" quotePrefix="0" xfId="0">
      <alignment vertical="center" indent="1"/>
    </xf>
    <xf numFmtId="0" fontId="5" fillId="6" borderId="1" applyAlignment="1" pivotButton="0" quotePrefix="0" xfId="0">
      <alignment horizontal="center"/>
    </xf>
    <xf numFmtId="0" fontId="15" fillId="6" borderId="1" applyAlignment="1" pivotButton="0" quotePrefix="0" xfId="0">
      <alignment vertical="center" indent="1"/>
    </xf>
    <xf numFmtId="166" fontId="4" fillId="6" borderId="1" applyAlignment="1" pivotButton="0" quotePrefix="0" xfId="0">
      <alignment vertical="center" indent="1"/>
    </xf>
    <xf numFmtId="167" fontId="4" fillId="6" borderId="1" applyAlignment="1" pivotButton="0" quotePrefix="0" xfId="0">
      <alignment vertical="center" indent="1"/>
    </xf>
    <xf numFmtId="0" fontId="4" fillId="3" borderId="1" applyAlignment="1" pivotButton="0" quotePrefix="0" xfId="0">
      <alignment vertical="center" indent="1"/>
    </xf>
    <xf numFmtId="0" fontId="5" fillId="3" borderId="1" applyAlignment="1" pivotButton="0" quotePrefix="0" xfId="0">
      <alignment horizontal="center"/>
    </xf>
    <xf numFmtId="0" fontId="16" fillId="3" borderId="1" applyAlignment="1" pivotButton="0" quotePrefix="0" xfId="0">
      <alignment vertical="center" indent="1"/>
    </xf>
    <xf numFmtId="166" fontId="4" fillId="3" borderId="1" applyAlignment="1" pivotButton="0" quotePrefix="0" xfId="0">
      <alignment vertical="center" indent="1"/>
    </xf>
    <xf numFmtId="167" fontId="4" fillId="3" borderId="1" applyAlignment="1" pivotButton="0" quotePrefix="0" xfId="0">
      <alignment vertical="center" indent="1"/>
    </xf>
    <xf numFmtId="0" fontId="4" fillId="5" borderId="1" applyAlignment="1" pivotButton="0" quotePrefix="0" xfId="0">
      <alignment vertical="center" indent="1"/>
    </xf>
    <xf numFmtId="0" fontId="5" fillId="5" borderId="1" applyAlignment="1" pivotButton="0" quotePrefix="0" xfId="0">
      <alignment horizontal="center"/>
    </xf>
    <xf numFmtId="0" fontId="17" fillId="5" borderId="1" applyAlignment="1" pivotButton="0" quotePrefix="0" xfId="0">
      <alignment vertical="center" indent="1"/>
    </xf>
    <xf numFmtId="166" fontId="4" fillId="5" borderId="1" applyAlignment="1" pivotButton="0" quotePrefix="0" xfId="0">
      <alignment vertical="center" indent="1"/>
    </xf>
    <xf numFmtId="167" fontId="4" fillId="5" borderId="1" applyAlignment="1" pivotButton="0" quotePrefix="0" xfId="0">
      <alignment vertical="center" indent="1"/>
    </xf>
    <xf numFmtId="0" fontId="4" fillId="4" borderId="1" applyAlignment="1" pivotButton="0" quotePrefix="0" xfId="0">
      <alignment vertical="center" indent="1"/>
    </xf>
    <xf numFmtId="0" fontId="5" fillId="4" borderId="1" applyAlignment="1" pivotButton="0" quotePrefix="0" xfId="0">
      <alignment horizontal="center"/>
    </xf>
    <xf numFmtId="0" fontId="18" fillId="4" borderId="1" applyAlignment="1" pivotButton="0" quotePrefix="0" xfId="0">
      <alignment vertical="center" indent="1"/>
    </xf>
    <xf numFmtId="166" fontId="4" fillId="4" borderId="1" applyAlignment="1" pivotButton="0" quotePrefix="0" xfId="0">
      <alignment vertical="center" indent="1"/>
    </xf>
    <xf numFmtId="167" fontId="4" fillId="4" borderId="1" applyAlignment="1" pivotButton="0" quotePrefix="0" xfId="0">
      <alignment vertical="center" indent="1"/>
    </xf>
    <xf numFmtId="0" fontId="4" fillId="7" borderId="1" applyAlignment="1" pivotButton="0" quotePrefix="0" xfId="0">
      <alignment vertical="center" indent="1"/>
    </xf>
    <xf numFmtId="0" fontId="5" fillId="7" borderId="1" applyAlignment="1" pivotButton="0" quotePrefix="0" xfId="0">
      <alignment horizontal="center"/>
    </xf>
    <xf numFmtId="0" fontId="19" fillId="7" borderId="1" applyAlignment="1" pivotButton="0" quotePrefix="0" xfId="0">
      <alignment vertical="center" indent="1"/>
    </xf>
    <xf numFmtId="166" fontId="4" fillId="7" borderId="1" applyAlignment="1" pivotButton="0" quotePrefix="0" xfId="0">
      <alignment vertical="center" indent="1"/>
    </xf>
    <xf numFmtId="167" fontId="4" fillId="7" borderId="1" applyAlignment="1" pivotButton="0" quotePrefix="0" xfId="0">
      <alignment vertical="center" indent="1"/>
    </xf>
    <xf numFmtId="0" fontId="12" fillId="2" borderId="1" pivotButton="0" quotePrefix="0" xfId="0"/>
    <xf numFmtId="0" fontId="12" fillId="2" borderId="1" applyAlignment="1" pivotButton="0" quotePrefix="0" xfId="0">
      <alignment horizontal="center"/>
    </xf>
    <xf numFmtId="0" fontId="20" fillId="0" borderId="0" pivotButton="0" quotePrefix="0" xfId="0"/>
    <xf numFmtId="0" fontId="5" fillId="6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3" borderId="1" pivotButton="0" quotePrefix="0" xfId="0"/>
    <xf numFmtId="0" fontId="5" fillId="5" borderId="1" pivotButton="0" quotePrefix="0" xfId="0"/>
    <xf numFmtId="0" fontId="5" fillId="4" borderId="1" pivotButton="0" quotePrefix="0" xfId="0"/>
    <xf numFmtId="0" fontId="5" fillId="7" borderId="1" pivotButton="0" quotePrefix="0" xfId="0"/>
  </cellXfs>
  <cellStyles count="1">
    <cellStyle name="Normal" xfId="0" builtinId="0" hidden="0"/>
  </cellStyles>
  <dxfs count="1">
    <dxf>
      <font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4" customWidth="1" min="2" max="2"/>
    <col width="15" customWidth="1" min="3" max="3"/>
    <col width="26" customWidth="1" min="4" max="4"/>
    <col width="8" customWidth="1" min="5" max="5"/>
    <col width="15" customWidth="1" min="6" max="6"/>
    <col width="14" customWidth="1" min="7" max="7"/>
    <col width="16" customWidth="1" min="8" max="8"/>
    <col width="8" customWidth="1" min="9" max="9"/>
    <col width="16" customWidth="1" min="10" max="10"/>
    <col width="16" customWidth="1" min="11" max="11"/>
    <col width="13" customWidth="1" min="12" max="12"/>
    <col width="22" customWidth="1" min="13" max="13"/>
    <col width="13" customWidth="1" min="14" max="14"/>
    <col width="78" customWidth="1" min="15" max="15"/>
  </cols>
  <sheetData>
    <row r="1" ht="36" customHeight="1">
      <c r="A1" s="1" t="inlineStr">
        <is>
          <t>CONTROL DE PAGOS A PROVEEDORES · CMC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Actualizado al 3 de septiembre de 2026. Los datos fiscales y bancarios están en la hoja DATOS BANCARIOS.</t>
        </is>
      </c>
    </row>
    <row r="4" ht="32" customHeight="1">
      <c r="A4" s="4" t="inlineStr">
        <is>
          <t>Proveedor</t>
        </is>
      </c>
      <c r="B4" s="4" t="inlineStr">
        <is>
          <t>Servicio / concepto</t>
        </is>
      </c>
      <c r="C4" s="4" t="inlineStr">
        <is>
          <t>Plaza</t>
        </is>
      </c>
      <c r="D4" s="4" t="inlineStr">
        <is>
          <t>Estado</t>
        </is>
      </c>
      <c r="E4" s="4" t="inlineStr">
        <is>
          <t>Moneda</t>
        </is>
      </c>
      <c r="F4" s="4" t="inlineStr">
        <is>
          <t>Neto</t>
        </is>
      </c>
      <c r="G4" s="4" t="inlineStr">
        <is>
          <t>IVA</t>
        </is>
      </c>
      <c r="H4" s="4" t="inlineStr">
        <is>
          <t>Total</t>
        </is>
      </c>
      <c r="I4" s="4" t="inlineStr">
        <is>
          <t>Seña %</t>
        </is>
      </c>
      <c r="J4" s="4" t="inlineStr">
        <is>
          <t>Monto seña</t>
        </is>
      </c>
      <c r="K4" s="4" t="inlineStr">
        <is>
          <t>Saldo pendiente</t>
        </is>
      </c>
      <c r="L4" s="4" t="inlineStr">
        <is>
          <t>Equiv. USD</t>
        </is>
      </c>
      <c r="M4" s="4" t="inlineStr">
        <is>
          <t>Vía de pago</t>
        </is>
      </c>
      <c r="N4" s="4" t="inlineStr">
        <is>
          <t>N.º invoice IIDAI</t>
        </is>
      </c>
      <c r="O4" s="4" t="inlineStr">
        <is>
          <t>Notas</t>
        </is>
      </c>
    </row>
    <row r="5" ht="40" customHeight="1">
      <c r="A5" s="5" t="inlineStr">
        <is>
          <t>La Rural S.A.</t>
        </is>
      </c>
      <c r="B5" s="6" t="inlineStr">
        <is>
          <t>Locación Pabellón Azul — Contrato CC-00957</t>
        </is>
      </c>
      <c r="C5" s="7" t="inlineStr">
        <is>
          <t>Argentina</t>
        </is>
      </c>
      <c r="D5" s="8" t="inlineStr">
        <is>
          <t>Contratado</t>
        </is>
      </c>
      <c r="E5" s="9" t="inlineStr">
        <is>
          <t>ARS</t>
        </is>
      </c>
      <c r="F5" s="10" t="n"/>
      <c r="G5" s="10" t="n"/>
      <c r="H5" s="11" t="n"/>
      <c r="I5" s="12" t="n"/>
      <c r="J5" s="10" t="n"/>
      <c r="K5" s="10" t="n"/>
      <c r="L5" s="13" t="n"/>
      <c r="M5" s="14" t="inlineStr">
        <is>
          <t>—</t>
        </is>
      </c>
      <c r="N5" s="7" t="inlineStr">
        <is>
          <t>—</t>
        </is>
      </c>
      <c r="O5" s="15" t="inlineStr">
        <is>
          <t>FALTA MONTO. Contrato CC-00957. 10.320 m². 2-3-4 oct 2026. No hay invoice IIDAI ni registro de pago del contrato del predio.</t>
        </is>
      </c>
    </row>
    <row r="6" ht="40" customHeight="1">
      <c r="A6" s="5" t="inlineStr">
        <is>
          <t>La Rural — Infraestructura</t>
        </is>
      </c>
      <c r="B6" s="6" t="inlineStr">
        <is>
          <t>Infraestructura y mobiliario (Arq. Christian Riccio)</t>
        </is>
      </c>
      <c r="C6" s="7" t="inlineStr">
        <is>
          <t>Argentina</t>
        </is>
      </c>
      <c r="D6" s="8" t="inlineStr">
        <is>
          <t>Presupuesto recibido sin responder</t>
        </is>
      </c>
      <c r="E6" s="9" t="inlineStr">
        <is>
          <t>ARS</t>
        </is>
      </c>
      <c r="F6" s="10" t="n"/>
      <c r="G6" s="10" t="n"/>
      <c r="H6" s="11" t="n"/>
      <c r="I6" s="12" t="n"/>
      <c r="J6" s="10" t="n"/>
      <c r="K6" s="10" t="n"/>
      <c r="L6" s="13" t="n"/>
      <c r="M6" s="14" t="inlineStr">
        <is>
          <t>—</t>
        </is>
      </c>
      <c r="N6" s="7" t="inlineStr">
        <is>
          <t>—</t>
        </is>
      </c>
      <c r="O6" s="15" t="inlineStr">
        <is>
          <t>FALTA MONTO — está en el PDF del mail del 17/08. Guardar en Drive para cargarlo.</t>
        </is>
      </c>
    </row>
    <row r="7" ht="40" customHeight="1">
      <c r="A7" s="5" t="inlineStr">
        <is>
          <t>La Rural — Conectividad</t>
        </is>
      </c>
      <c r="B7" s="6" t="inlineStr">
        <is>
          <t>WiFi 2 redes privadas (recotización 100 Mbps)</t>
        </is>
      </c>
      <c r="C7" s="7" t="inlineStr">
        <is>
          <t>Argentina</t>
        </is>
      </c>
      <c r="D7" s="8" t="inlineStr">
        <is>
          <t>Esperando recotización</t>
        </is>
      </c>
      <c r="E7" s="9" t="inlineStr">
        <is>
          <t>ARS</t>
        </is>
      </c>
      <c r="F7" s="10" t="n"/>
      <c r="G7" s="10" t="n"/>
      <c r="H7" s="11" t="n"/>
      <c r="I7" s="12" t="n"/>
      <c r="J7" s="10" t="n"/>
      <c r="K7" s="10" t="n"/>
      <c r="L7" s="13" t="n"/>
      <c r="M7" s="14" t="inlineStr">
        <is>
          <t>—</t>
        </is>
      </c>
      <c r="N7" s="7" t="inlineStr">
        <is>
          <t>—</t>
        </is>
      </c>
      <c r="O7" s="15" t="inlineStr">
        <is>
          <t>FALTA MONTO — presupuesto del 16/06 en PDF. Recotización a 100 Mbps pedida el 05/08, sin respuesta.</t>
        </is>
      </c>
    </row>
    <row r="8" ht="40" customHeight="1">
      <c r="A8" s="16" t="inlineStr">
        <is>
          <t>Grupo MET</t>
        </is>
      </c>
      <c r="B8" s="17" t="inlineStr">
        <is>
          <t>Producción técnica + entelado</t>
        </is>
      </c>
      <c r="C8" s="18" t="inlineStr">
        <is>
          <t>Argentina</t>
        </is>
      </c>
      <c r="D8" s="19" t="inlineStr">
        <is>
          <t>Cerrado + señado</t>
        </is>
      </c>
      <c r="E8" s="20" t="inlineStr">
        <is>
          <t>USD</t>
        </is>
      </c>
      <c r="F8" s="21" t="n"/>
      <c r="G8" s="21" t="n"/>
      <c r="H8" s="22" t="n"/>
      <c r="I8" s="23" t="n"/>
      <c r="J8" s="21" t="n">
        <v>5000</v>
      </c>
      <c r="K8" s="21" t="n"/>
      <c r="L8" s="22" t="n">
        <v>5000</v>
      </c>
      <c r="M8" s="24" t="inlineStr">
        <is>
          <t>Mercury / transferencia</t>
        </is>
      </c>
      <c r="N8" s="18" t="inlineStr">
        <is>
          <t>—</t>
        </is>
      </c>
      <c r="O8" s="25" t="inlineStr">
        <is>
          <t>FALTA MONTO TOTAL. Pagado USD 5.000 vía Mercury (INV-11, 31/07). Contacto: Lalo. Sus mails salientes fallaban: confirmar por WhatsApp. Descuento ~15M ARS.</t>
        </is>
      </c>
    </row>
    <row r="9" ht="40" customHeight="1">
      <c r="A9" s="26" t="inlineStr">
        <is>
          <t>Grupo Ambient / Good Events SA</t>
        </is>
      </c>
      <c r="B9" s="27" t="inlineStr">
        <is>
          <t>Catering desayuno VIP 800 pax — Presupuesto S03362</t>
        </is>
      </c>
      <c r="C9" s="28" t="inlineStr">
        <is>
          <t>Argentina</t>
        </is>
      </c>
      <c r="D9" s="29" t="inlineStr">
        <is>
          <t>Cerrado — esperando seña</t>
        </is>
      </c>
      <c r="E9" s="30" t="inlineStr">
        <is>
          <t>ARS</t>
        </is>
      </c>
      <c r="F9" s="31" t="n">
        <v>16696800</v>
      </c>
      <c r="G9" s="31" t="n">
        <v>3506328</v>
      </c>
      <c r="H9" s="32" t="n">
        <v>20203128</v>
      </c>
      <c r="I9" s="33" t="n">
        <v>0.5</v>
      </c>
      <c r="J9" s="31" t="n">
        <v>10101564</v>
      </c>
      <c r="K9" s="31" t="n">
        <v>10101564</v>
      </c>
      <c r="L9" s="34" t="n"/>
      <c r="M9" s="35" t="inlineStr">
        <is>
          <t>Transferencia</t>
        </is>
      </c>
      <c r="N9" s="28" t="inlineStr">
        <is>
          <t>2601021</t>
        </is>
      </c>
      <c r="O9" s="36" t="inlineStr">
        <is>
          <t>800 pax × $20.871 + IVA. Ejecutiva: Ángeles García Laborde. Cuenta a nombre de Good Events SA, NO Gourmet Connection SA. Anticipo unificado con S03363.</t>
        </is>
      </c>
    </row>
    <row r="10" ht="40" customHeight="1">
      <c r="A10" s="26" t="inlineStr">
        <is>
          <t>Grupo Ambient / Good Events SA</t>
        </is>
      </c>
      <c r="B10" s="27" t="inlineStr">
        <is>
          <t>Catering staff 150 pax — Presupuesto S03363</t>
        </is>
      </c>
      <c r="C10" s="28" t="inlineStr">
        <is>
          <t>Argentina</t>
        </is>
      </c>
      <c r="D10" s="29" t="inlineStr">
        <is>
          <t>Cerrado — esperando seña</t>
        </is>
      </c>
      <c r="E10" s="30" t="inlineStr">
        <is>
          <t>ARS</t>
        </is>
      </c>
      <c r="F10" s="31" t="n">
        <v>8258100</v>
      </c>
      <c r="G10" s="31" t="n">
        <v>1734201</v>
      </c>
      <c r="H10" s="32" t="n">
        <v>9992301</v>
      </c>
      <c r="I10" s="33" t="n">
        <v>0.5</v>
      </c>
      <c r="J10" s="31" t="n">
        <v>4996150.5</v>
      </c>
      <c r="K10" s="31" t="n">
        <v>4996150.5</v>
      </c>
      <c r="L10" s="34" t="n"/>
      <c r="M10" s="35" t="inlineStr">
        <is>
          <t>Transferencia</t>
        </is>
      </c>
      <c r="N10" s="28" t="inlineStr">
        <is>
          <t>2601021</t>
        </is>
      </c>
      <c r="O10" s="36" t="inlineStr">
        <is>
          <t>150 pax × $55.054 + IVA. Anticipo unificado con S03362.</t>
        </is>
      </c>
    </row>
    <row r="11" ht="40" customHeight="1">
      <c r="A11" s="26" t="inlineStr">
        <is>
          <t>Grupo Ambient — TOTAL UNIFICADO</t>
        </is>
      </c>
      <c r="B11" s="27" t="inlineStr">
        <is>
          <t>Anticipo 50% de S03362 + S03363</t>
        </is>
      </c>
      <c r="C11" s="28" t="inlineStr">
        <is>
          <t>Argentina</t>
        </is>
      </c>
      <c r="D11" s="29" t="inlineStr">
        <is>
          <t>Cerrado — esperando seña</t>
        </is>
      </c>
      <c r="E11" s="30" t="inlineStr">
        <is>
          <t>ARS</t>
        </is>
      </c>
      <c r="F11" s="31" t="n">
        <v>12477450</v>
      </c>
      <c r="G11" s="31" t="n">
        <v>2620264.5</v>
      </c>
      <c r="H11" s="32" t="n">
        <v>15097714.5</v>
      </c>
      <c r="I11" s="33" t="n">
        <v>0.5</v>
      </c>
      <c r="J11" s="31" t="n">
        <v>15097714.5</v>
      </c>
      <c r="K11" s="31" t="n">
        <v>15097714.5</v>
      </c>
      <c r="L11" s="34" t="n">
        <v>9835.639999999999</v>
      </c>
      <c r="M11" s="35" t="inlineStr">
        <is>
          <t>Transferencia</t>
        </is>
      </c>
      <c r="N11" s="28" t="inlineStr">
        <is>
          <t>2601021</t>
        </is>
      </c>
      <c r="O11" s="36" t="inlineStr">
        <is>
          <t>ESTA es la invoice emitida. Base neta total $24.954.900. Saldo 50% pendiente de emitir.</t>
        </is>
      </c>
    </row>
    <row r="12" ht="40" customHeight="1">
      <c r="A12" s="26" t="inlineStr">
        <is>
          <t>Chanes Seguros</t>
        </is>
      </c>
      <c r="B12" s="27" t="inlineStr">
        <is>
          <t>Seguro de accidentes personales + asistencia médica 150 pax</t>
        </is>
      </c>
      <c r="C12" s="28" t="inlineStr">
        <is>
          <t>Argentina</t>
        </is>
      </c>
      <c r="D12" s="29" t="inlineStr">
        <is>
          <t>Cerrado — esperando seña</t>
        </is>
      </c>
      <c r="E12" s="30" t="inlineStr">
        <is>
          <t>ARS</t>
        </is>
      </c>
      <c r="F12" s="31" t="n"/>
      <c r="G12" s="31" t="n"/>
      <c r="H12" s="32" t="n">
        <v>953151.9300000001</v>
      </c>
      <c r="I12" s="33" t="n"/>
      <c r="J12" s="31" t="n"/>
      <c r="K12" s="31" t="n">
        <v>953151.9300000001</v>
      </c>
      <c r="L12" s="34" t="n"/>
      <c r="M12" s="35" t="inlineStr">
        <is>
          <t>Transferencia</t>
        </is>
      </c>
      <c r="N12" s="28" t="inlineStr">
        <is>
          <t>—</t>
        </is>
      </c>
      <c r="O12" s="36" t="inlineStr">
        <is>
          <t>MONTO CONFIRMADO por mail del 13/07. Confirmar si incluye IVA. Falta póliza emitida.</t>
        </is>
      </c>
    </row>
    <row r="13" ht="40" customHeight="1">
      <c r="A13" s="37" t="inlineStr">
        <is>
          <t>Chanes Seguros</t>
        </is>
      </c>
      <c r="B13" s="38" t="inlineStr">
        <is>
          <t>Seguro de RESPONSABILIDAD CIVIL</t>
        </is>
      </c>
      <c r="C13" s="39" t="inlineStr">
        <is>
          <t>Argentina</t>
        </is>
      </c>
      <c r="D13" s="40" t="inlineStr">
        <is>
          <t>NUNCA LLEGÓ</t>
        </is>
      </c>
      <c r="E13" s="41" t="inlineStr">
        <is>
          <t>ARS</t>
        </is>
      </c>
      <c r="F13" s="42" t="n"/>
      <c r="G13" s="42" t="n"/>
      <c r="H13" s="43" t="n"/>
      <c r="I13" s="44" t="n"/>
      <c r="J13" s="42" t="n"/>
      <c r="K13" s="42" t="n"/>
      <c r="L13" s="45" t="n"/>
      <c r="M13" s="46" t="inlineStr">
        <is>
          <t>Transferencia</t>
        </is>
      </c>
      <c r="N13" s="39" t="inlineStr">
        <is>
          <t>—</t>
        </is>
      </c>
      <c r="O13" s="47" t="inlineStr">
        <is>
          <t>Néstor prometió el 13/07 pasar el costo. Nunca llegó y La Rural suele exigir RC. RECLAMAR.</t>
        </is>
      </c>
    </row>
    <row r="14" ht="40" customHeight="1">
      <c r="A14" s="26" t="inlineStr">
        <is>
          <t>Higia Eventos</t>
        </is>
      </c>
      <c r="B14" s="27" t="inlineStr">
        <is>
          <t>Limpieza sábado y domingo 07:00–23:30</t>
        </is>
      </c>
      <c r="C14" s="28" t="inlineStr">
        <is>
          <t>Argentina</t>
        </is>
      </c>
      <c r="D14" s="29" t="inlineStr">
        <is>
          <t>Cerrado — esperando presupuesto ajustado</t>
        </is>
      </c>
      <c r="E14" s="30" t="inlineStr">
        <is>
          <t>ARS</t>
        </is>
      </c>
      <c r="F14" s="31" t="n"/>
      <c r="G14" s="31" t="n"/>
      <c r="H14" s="32" t="n"/>
      <c r="I14" s="33" t="n"/>
      <c r="J14" s="31" t="n"/>
      <c r="K14" s="31" t="n"/>
      <c r="L14" s="34" t="n"/>
      <c r="M14" s="35" t="inlineStr">
        <is>
          <t>Transferencia</t>
        </is>
      </c>
      <c r="N14" s="28" t="inlineStr">
        <is>
          <t>—</t>
        </is>
      </c>
      <c r="O14" s="36" t="inlineStr">
        <is>
          <t>FALTA MONTO — presupuesto de Yanina Cruz del 22/06 en PDF. Ajuste pedido el 11/08, sin respuesta. Incluir desayuno VIP del domingo 8am.</t>
        </is>
      </c>
    </row>
    <row r="15" ht="40" customHeight="1">
      <c r="A15" s="26" t="inlineStr">
        <is>
          <t>Gale Servicios</t>
        </is>
      </c>
      <c r="B15" s="27" t="inlineStr">
        <is>
          <t>Retiro y gestión de residuos</t>
        </is>
      </c>
      <c r="C15" s="28" t="inlineStr">
        <is>
          <t>Argentina</t>
        </is>
      </c>
      <c r="D15" s="29" t="inlineStr">
        <is>
          <t>Cerrado — esperando seña</t>
        </is>
      </c>
      <c r="E15" s="30" t="inlineStr">
        <is>
          <t>ARS</t>
        </is>
      </c>
      <c r="F15" s="31" t="n"/>
      <c r="G15" s="31" t="n"/>
      <c r="H15" s="32" t="n"/>
      <c r="I15" s="33" t="n"/>
      <c r="J15" s="31" t="n"/>
      <c r="K15" s="31" t="n"/>
      <c r="L15" s="34" t="n"/>
      <c r="M15" s="35" t="inlineStr">
        <is>
          <t>Transferencia</t>
        </is>
      </c>
      <c r="N15" s="28" t="inlineStr">
        <is>
          <t>—</t>
        </is>
      </c>
      <c r="O15" s="36" t="inlineStr">
        <is>
          <t>FALTA MONTO — cotización de Yanina Cruz del 22/06 en PDF. Proveedor exclusivo del predio. Mismo grupo que Higia.</t>
        </is>
      </c>
    </row>
    <row r="16" ht="40" customHeight="1">
      <c r="A16" s="5" t="inlineStr">
        <is>
          <t>Road Seguridad</t>
        </is>
      </c>
      <c r="B16" s="6" t="inlineStr">
        <is>
          <t>Seguridad y vigilancia 2-3-4 oct</t>
        </is>
      </c>
      <c r="C16" s="7" t="inlineStr">
        <is>
          <t>Argentina</t>
        </is>
      </c>
      <c r="D16" s="8" t="inlineStr">
        <is>
          <t>Negociación</t>
        </is>
      </c>
      <c r="E16" s="9" t="inlineStr">
        <is>
          <t>ARS</t>
        </is>
      </c>
      <c r="F16" s="10" t="n"/>
      <c r="G16" s="10" t="n"/>
      <c r="H16" s="11" t="n"/>
      <c r="I16" s="12" t="n"/>
      <c r="J16" s="10" t="n"/>
      <c r="K16" s="10" t="n"/>
      <c r="L16" s="13" t="n"/>
      <c r="M16" s="14" t="inlineStr">
        <is>
          <t>Transferencia</t>
        </is>
      </c>
      <c r="N16" s="7" t="inlineStr">
        <is>
          <t>—</t>
        </is>
      </c>
      <c r="O16" s="15" t="inlineStr">
        <is>
          <t>FALTA MONTO — está en el XLS del 12/08. OJO: el archivo se llama "3 Y 4 DE OCTUBRE" y el esquema incluye el viernes 2 (montaje). VERIFICAR que cotizaron los 3 días. Contacto: Javier Celiz. Tarifa de junio: actualizar a octubre.</t>
        </is>
      </c>
    </row>
    <row r="17" ht="40" customHeight="1">
      <c r="A17" s="5" t="inlineStr">
        <is>
          <t>Vittal (Socorro Médico Privado SA)</t>
        </is>
      </c>
      <c r="B17" s="6" t="inlineStr">
        <is>
          <t>Servicio médico — ambulancia UTIM + 2 médicos + enfermero</t>
        </is>
      </c>
      <c r="C17" s="7" t="inlineStr">
        <is>
          <t>Argentina</t>
        </is>
      </c>
      <c r="D17" s="8" t="inlineStr">
        <is>
          <t>Negociación — a recotizar</t>
        </is>
      </c>
      <c r="E17" s="9" t="inlineStr">
        <is>
          <t>ARS</t>
        </is>
      </c>
      <c r="F17" s="10" t="n">
        <v>6920220.32</v>
      </c>
      <c r="G17" s="10" t="n">
        <v>726623.13</v>
      </c>
      <c r="H17" s="11" t="n">
        <v>7646843.45</v>
      </c>
      <c r="I17" s="12" t="n"/>
      <c r="J17" s="10" t="n"/>
      <c r="K17" s="10" t="n"/>
      <c r="L17" s="13" t="n"/>
      <c r="M17" s="14" t="inlineStr">
        <is>
          <t>Transferencia 100% adelantado</t>
        </is>
      </c>
      <c r="N17" s="7" t="inlineStr">
        <is>
          <t>—</t>
        </is>
      </c>
      <c r="O17" s="15" t="inlineStr">
        <is>
          <t>Referencia: cotización del 18/06 CON consultorio. VENCIDA y ahora SIN consultorio: el número debe BAJAR. Contacto: Vanesa Tomas. Pedir ART + matrículas + renuncia de repetición.</t>
        </is>
      </c>
    </row>
    <row r="18" ht="40" customHeight="1">
      <c r="A18" s="5" t="inlineStr">
        <is>
          <t>Mobiliario / sillas</t>
        </is>
      </c>
      <c r="B18" s="6" t="inlineStr">
        <is>
          <t>5.500 sillas (1.000 tapizadas VIP + 4.500 plásticas) + salas</t>
        </is>
      </c>
      <c r="C18" s="7" t="inlineStr">
        <is>
          <t>Argentina</t>
        </is>
      </c>
      <c r="D18" s="8" t="inlineStr">
        <is>
          <t>Negociación</t>
        </is>
      </c>
      <c r="E18" s="9" t="inlineStr">
        <is>
          <t>ARS</t>
        </is>
      </c>
      <c r="F18" s="10" t="n"/>
      <c r="G18" s="10" t="n"/>
      <c r="H18" s="11" t="n"/>
      <c r="I18" s="12" t="n"/>
      <c r="J18" s="10" t="n"/>
      <c r="K18" s="10" t="n"/>
      <c r="L18" s="13" t="n"/>
      <c r="M18" s="14" t="inlineStr">
        <is>
          <t>A definir</t>
        </is>
      </c>
      <c r="N18" s="7" t="inlineStr">
        <is>
          <t>—</t>
        </is>
      </c>
      <c r="O18" s="15" t="inlineStr">
        <is>
          <t>FALTA MONTO — presupuesto FDL del 07/08. FDL NO factura al exterior (usa un tercero que emite en USA). Casablanca sólo las 1.000 tapizadas. Sealquilatodo sin respuesta.</t>
        </is>
      </c>
    </row>
    <row r="19" ht="40" customHeight="1">
      <c r="A19" s="37" t="inlineStr">
        <is>
          <t>Baños químicos</t>
        </is>
      </c>
      <c r="B19" s="38" t="inlineStr">
        <is>
          <t>25 baños químicos exteriores</t>
        </is>
      </c>
      <c r="C19" s="39" t="inlineStr">
        <is>
          <t>Argentina</t>
        </is>
      </c>
      <c r="D19" s="40" t="inlineStr">
        <is>
          <t>Bloqueado</t>
        </is>
      </c>
      <c r="E19" s="41" t="inlineStr">
        <is>
          <t>—</t>
        </is>
      </c>
      <c r="F19" s="48" t="n"/>
      <c r="G19" s="48" t="n"/>
      <c r="H19" s="45" t="n"/>
      <c r="I19" s="44" t="n"/>
      <c r="J19" s="48" t="n"/>
      <c r="K19" s="48" t="n"/>
      <c r="L19" s="45" t="n"/>
      <c r="M19" s="46" t="inlineStr">
        <is>
          <t>—</t>
        </is>
      </c>
      <c r="N19" s="39" t="inlineStr">
        <is>
          <t>—</t>
        </is>
      </c>
      <c r="O19" s="47" t="inlineStr">
        <is>
          <t>Pendiente del plano del predio. Sin proveedor asignado.</t>
        </is>
      </c>
    </row>
    <row r="20" ht="40" customHeight="1">
      <c r="A20" s="37" t="inlineStr">
        <is>
          <t>Food trucks</t>
        </is>
      </c>
      <c r="B20" s="38" t="inlineStr">
        <is>
          <t>Food trucks zona exterior</t>
        </is>
      </c>
      <c r="C20" s="39" t="inlineStr">
        <is>
          <t>Argentina</t>
        </is>
      </c>
      <c r="D20" s="40" t="inlineStr">
        <is>
          <t>Bloqueado</t>
        </is>
      </c>
      <c r="E20" s="41" t="inlineStr">
        <is>
          <t>—</t>
        </is>
      </c>
      <c r="F20" s="48" t="n"/>
      <c r="G20" s="48" t="n"/>
      <c r="H20" s="45" t="n"/>
      <c r="I20" s="44" t="n"/>
      <c r="J20" s="48" t="n"/>
      <c r="K20" s="48" t="n"/>
      <c r="L20" s="45" t="n"/>
      <c r="M20" s="46" t="inlineStr">
        <is>
          <t>—</t>
        </is>
      </c>
      <c r="N20" s="39" t="inlineStr">
        <is>
          <t>—</t>
        </is>
      </c>
      <c r="O20" s="47" t="inlineStr">
        <is>
          <t>La Rural nunca indicó con quién gestionar la autorización (pedido el 24/06).</t>
        </is>
      </c>
    </row>
    <row r="21" ht="40" customHeight="1">
      <c r="A21" s="5" t="inlineStr">
        <is>
          <t>Colorvox</t>
        </is>
      </c>
      <c r="B21" s="6" t="inlineStr">
        <is>
          <t>Regalo VIP CMC 2026 (contenedor con y sin tarjeta)</t>
        </is>
      </c>
      <c r="C21" s="7" t="inlineStr">
        <is>
          <t>Argentina</t>
        </is>
      </c>
      <c r="D21" s="8" t="inlineStr">
        <is>
          <t>Cotización recibida</t>
        </is>
      </c>
      <c r="E21" s="9" t="inlineStr">
        <is>
          <t>—</t>
        </is>
      </c>
      <c r="F21" s="49" t="n"/>
      <c r="G21" s="49" t="n"/>
      <c r="H21" s="13" t="n"/>
      <c r="I21" s="12" t="n"/>
      <c r="J21" s="49" t="n"/>
      <c r="K21" s="49" t="n"/>
      <c r="L21" s="13" t="n"/>
      <c r="M21" s="14" t="inlineStr">
        <is>
          <t>—</t>
        </is>
      </c>
      <c r="N21" s="7" t="inlineStr">
        <is>
          <t>—</t>
        </is>
      </c>
      <c r="O21" s="15" t="inlineStr">
        <is>
          <t>FALTA MONTO — dos cotizaciones del 24/08 en PDF. Contacto: Alejandra Corzo / Héctor Caldera.</t>
        </is>
      </c>
    </row>
    <row r="22" ht="40" customHeight="1">
      <c r="A22" s="16" t="inlineStr">
        <is>
          <t>REMERASYESTAMPADOS</t>
        </is>
      </c>
      <c r="B22" s="17" t="inlineStr">
        <is>
          <t>Remeras × $14.110 — PAGO TOTAL 100%</t>
        </is>
      </c>
      <c r="C22" s="18" t="inlineStr">
        <is>
          <t>Argentina</t>
        </is>
      </c>
      <c r="D22" s="19" t="inlineStr">
        <is>
          <t>Facturado</t>
        </is>
      </c>
      <c r="E22" s="20" t="inlineStr">
        <is>
          <t>ARS</t>
        </is>
      </c>
      <c r="F22" s="50" t="n">
        <v>3527500</v>
      </c>
      <c r="G22" s="50" t="n">
        <v>740775</v>
      </c>
      <c r="H22" s="51" t="n">
        <v>4268275</v>
      </c>
      <c r="I22" s="23" t="n">
        <v>1</v>
      </c>
      <c r="J22" s="50" t="n">
        <v>4268275</v>
      </c>
      <c r="K22" s="50" t="n">
        <v>0</v>
      </c>
      <c r="L22" s="22" t="n">
        <v>2780.64</v>
      </c>
      <c r="M22" s="24" t="inlineStr">
        <is>
          <t>USDT BEP-20</t>
        </is>
      </c>
      <c r="N22" s="18" t="inlineStr">
        <is>
          <t>2601017</t>
        </is>
      </c>
      <c r="O22" s="25" t="inlineStr">
        <is>
          <t>Versión FINAL en la carpeta "Nuevo pago -". OJO: la planilla decía 230 unidades y la factura 2601017 dice 250; el neto coincide con 250.</t>
        </is>
      </c>
    </row>
    <row r="23" ht="40" customHeight="1">
      <c r="A23" s="16" t="inlineStr">
        <is>
          <t>REMERASYESTAMPADOS</t>
        </is>
      </c>
      <c r="B23" s="17" t="inlineStr">
        <is>
          <t>Pañuelos — PAGO 50%</t>
        </is>
      </c>
      <c r="C23" s="18" t="inlineStr">
        <is>
          <t>Argentina</t>
        </is>
      </c>
      <c r="D23" s="19" t="inlineStr">
        <is>
          <t>Facturado (50%)</t>
        </is>
      </c>
      <c r="E23" s="20" t="inlineStr">
        <is>
          <t>ARS</t>
        </is>
      </c>
      <c r="F23" s="50" t="n">
        <v>13387500</v>
      </c>
      <c r="G23" s="50" t="n">
        <v>2811375</v>
      </c>
      <c r="H23" s="51" t="n">
        <v>16198875</v>
      </c>
      <c r="I23" s="23" t="n">
        <v>0.5</v>
      </c>
      <c r="J23" s="50" t="n">
        <v>8099437.5</v>
      </c>
      <c r="K23" s="50" t="n">
        <v>8099437.5</v>
      </c>
      <c r="L23" s="22" t="n">
        <v>5276.51</v>
      </c>
      <c r="M23" s="24" t="inlineStr">
        <is>
          <t>USDT BEP-20</t>
        </is>
      </c>
      <c r="N23" s="18" t="inlineStr">
        <is>
          <t>2601019</t>
        </is>
      </c>
      <c r="O23" s="25" t="inlineStr">
        <is>
          <t>Saldo 50% de $8.099.437,50 PENDIENTE DE EMITIR. Compra compartida con Uruguay.</t>
        </is>
      </c>
    </row>
    <row r="24" ht="40" customHeight="1">
      <c r="A24" s="16" t="inlineStr">
        <is>
          <t>REMERASYESTAMPADOS</t>
        </is>
      </c>
      <c r="B24" s="17" t="inlineStr">
        <is>
          <t>Bordado de gorras — PAGO TOTAL 100%</t>
        </is>
      </c>
      <c r="C24" s="18" t="inlineStr">
        <is>
          <t>Argentina</t>
        </is>
      </c>
      <c r="D24" s="19" t="inlineStr">
        <is>
          <t>Facturado</t>
        </is>
      </c>
      <c r="E24" s="20" t="inlineStr">
        <is>
          <t>ARS</t>
        </is>
      </c>
      <c r="F24" s="50" t="n">
        <v>2643200</v>
      </c>
      <c r="G24" s="50" t="n">
        <v>0</v>
      </c>
      <c r="H24" s="51" t="n">
        <v>2643200</v>
      </c>
      <c r="I24" s="23" t="n">
        <v>1</v>
      </c>
      <c r="J24" s="50" t="n">
        <v>2643200</v>
      </c>
      <c r="K24" s="50" t="n">
        <v>0</v>
      </c>
      <c r="L24" s="22" t="n">
        <v>1721.95</v>
      </c>
      <c r="M24" s="24" t="inlineStr">
        <is>
          <t>USDT BEP-20</t>
        </is>
      </c>
      <c r="N24" s="18" t="inlineStr">
        <is>
          <t>2601016</t>
        </is>
      </c>
      <c r="O24" s="25" t="inlineStr">
        <is>
          <t>SIN IVA (precio final). Cotización original $3.055.000 → final $2.643.200. Se eligió sobre DUK GROUP. OJO: la planilla decía 100 gorras y la factura dice 940.</t>
        </is>
      </c>
    </row>
    <row r="25" ht="40" customHeight="1">
      <c r="A25" s="52" t="inlineStr">
        <is>
          <t>DUK GROUP (DUK CATAMARCA SRL)</t>
        </is>
      </c>
      <c r="B25" s="53" t="inlineStr">
        <is>
          <t>Bordado de gorras — COTIZACIÓN NO ADJUDICADA</t>
        </is>
      </c>
      <c r="C25" s="54" t="inlineStr">
        <is>
          <t>Argentina</t>
        </is>
      </c>
      <c r="D25" s="55" t="inlineStr">
        <is>
          <t>Descartado</t>
        </is>
      </c>
      <c r="E25" s="56" t="inlineStr">
        <is>
          <t>ARS</t>
        </is>
      </c>
      <c r="F25" s="57" t="n">
        <v>2775360</v>
      </c>
      <c r="G25" s="57" t="n">
        <v>582825.6</v>
      </c>
      <c r="H25" s="58" t="n">
        <v>3358185.6</v>
      </c>
      <c r="I25" s="59" t="n"/>
      <c r="J25" s="57" t="n"/>
      <c r="K25" s="57" t="n"/>
      <c r="L25" s="60" t="n">
        <v>2276.74</v>
      </c>
      <c r="M25" s="61" t="inlineStr">
        <is>
          <t>Transferencia</t>
        </is>
      </c>
      <c r="N25" s="54" t="inlineStr">
        <is>
          <t>—</t>
        </is>
      </c>
      <c r="O25" s="62" t="inlineStr">
        <is>
          <t>Quedó afuera: más caro que Remerasyestampados. Datos guardados por si se necesita.</t>
        </is>
      </c>
    </row>
    <row r="26" ht="40" customHeight="1">
      <c r="A26" s="37" t="inlineStr">
        <is>
          <t>TEXTILRYU</t>
        </is>
      </c>
      <c r="B26" s="38" t="inlineStr">
        <is>
          <t>940 gorras × $2.367</t>
        </is>
      </c>
      <c r="C26" s="39" t="inlineStr">
        <is>
          <t>Argentina</t>
        </is>
      </c>
      <c r="D26" s="40" t="inlineStr">
        <is>
          <t>SIN INVOICE EMITIDA</t>
        </is>
      </c>
      <c r="E26" s="41" t="inlineStr">
        <is>
          <t>ARS</t>
        </is>
      </c>
      <c r="F26" s="42" t="n">
        <v>2224980</v>
      </c>
      <c r="G26" s="42" t="n"/>
      <c r="H26" s="43" t="n"/>
      <c r="I26" s="44" t="n"/>
      <c r="J26" s="42" t="n"/>
      <c r="K26" s="42" t="n"/>
      <c r="L26" s="45" t="n"/>
      <c r="M26" s="46" t="inlineStr">
        <is>
          <t>Transferencia</t>
        </is>
      </c>
      <c r="N26" s="39" t="inlineStr">
        <is>
          <t>—</t>
        </is>
      </c>
      <c r="O26" s="47" t="inlineStr">
        <is>
          <t>REVISAR: 940 × $2.367 = $2.224.980 estimado. No hay invoice en la carpeta. ¿Se pagó por otra vía? Ojo con el doble 5% que se corrigió.</t>
        </is>
      </c>
    </row>
    <row r="27" ht="40" customHeight="1">
      <c r="A27" s="16" t="inlineStr">
        <is>
          <t>Leotex</t>
        </is>
      </c>
      <c r="B27" s="17" t="inlineStr">
        <is>
          <t>Lanyards — PAGO TOTAL</t>
        </is>
      </c>
      <c r="C27" s="18" t="inlineStr">
        <is>
          <t>Argentina</t>
        </is>
      </c>
      <c r="D27" s="19" t="inlineStr">
        <is>
          <t>Facturado</t>
        </is>
      </c>
      <c r="E27" s="20" t="inlineStr">
        <is>
          <t>ARS</t>
        </is>
      </c>
      <c r="F27" s="50" t="n">
        <v>2070600</v>
      </c>
      <c r="G27" s="50" t="n">
        <v>434826</v>
      </c>
      <c r="H27" s="51" t="n">
        <v>2505426</v>
      </c>
      <c r="I27" s="23" t="n">
        <v>1</v>
      </c>
      <c r="J27" s="50" t="n">
        <v>2505426</v>
      </c>
      <c r="K27" s="50" t="n">
        <v>0</v>
      </c>
      <c r="L27" s="22" t="n">
        <v>1632.2</v>
      </c>
      <c r="M27" s="24" t="inlineStr">
        <is>
          <t>USDT BEP-20</t>
        </is>
      </c>
      <c r="N27" s="18" t="inlineStr">
        <is>
          <t>2601018</t>
        </is>
      </c>
      <c r="O27" s="25" t="inlineStr">
        <is>
          <t>REVISAR: existen DOS invoices 2601018, una por el 50% ($1.252.713) y otra por el TOTAL ($2.505.426, ref. 2601013). Confirmar cuál se pagó.</t>
        </is>
      </c>
    </row>
    <row r="28" ht="40" customHeight="1">
      <c r="A28" s="16" t="inlineStr">
        <is>
          <t>Derqui Impresiones</t>
        </is>
      </c>
      <c r="B28" s="17" t="inlineStr">
        <is>
          <t>Gráfica Argentina</t>
        </is>
      </c>
      <c r="C28" s="18" t="inlineStr">
        <is>
          <t>Argentina</t>
        </is>
      </c>
      <c r="D28" s="19" t="inlineStr">
        <is>
          <t>Facturado</t>
        </is>
      </c>
      <c r="E28" s="20" t="inlineStr">
        <is>
          <t>ARS</t>
        </is>
      </c>
      <c r="F28" s="50" t="n">
        <v>3025260</v>
      </c>
      <c r="G28" s="50" t="n">
        <v>635304.6</v>
      </c>
      <c r="H28" s="51" t="n">
        <v>3660564.6</v>
      </c>
      <c r="I28" s="23" t="n">
        <v>1</v>
      </c>
      <c r="J28" s="50" t="n">
        <v>3660564.6</v>
      </c>
      <c r="K28" s="50" t="n">
        <v>0</v>
      </c>
      <c r="L28" s="22" t="n">
        <v>2384.73</v>
      </c>
      <c r="M28" s="24" t="inlineStr">
        <is>
          <t>USDT BEP-20</t>
        </is>
      </c>
      <c r="N28" s="18" t="inlineStr">
        <is>
          <t>2601014</t>
        </is>
      </c>
      <c r="O28" s="25" t="inlineStr">
        <is>
          <t>Contacto: Adrián — ventas@impresionesderqui.com.ar — 11 2456 7280.</t>
        </is>
      </c>
    </row>
    <row r="29" ht="40" customHeight="1">
      <c r="A29" s="16" t="inlineStr">
        <is>
          <t>Derqui Impresiones</t>
        </is>
      </c>
      <c r="B29" s="17" t="inlineStr">
        <is>
          <t>Gráfica Uruguay</t>
        </is>
      </c>
      <c r="C29" s="18" t="inlineStr">
        <is>
          <t>Uruguay</t>
        </is>
      </c>
      <c r="D29" s="19" t="inlineStr">
        <is>
          <t>Facturado</t>
        </is>
      </c>
      <c r="E29" s="20" t="inlineStr">
        <is>
          <t>ARS</t>
        </is>
      </c>
      <c r="F29" s="50" t="n">
        <v>1564626</v>
      </c>
      <c r="G29" s="50" t="n">
        <v>328571.46</v>
      </c>
      <c r="H29" s="51" t="n">
        <v>1893197.46</v>
      </c>
      <c r="I29" s="23" t="n">
        <v>1</v>
      </c>
      <c r="J29" s="50" t="n">
        <v>1893197.46</v>
      </c>
      <c r="K29" s="50" t="n">
        <v>0</v>
      </c>
      <c r="L29" s="22" t="n">
        <v>1233.35</v>
      </c>
      <c r="M29" s="24" t="inlineStr">
        <is>
          <t>USDT BEP-20</t>
        </is>
      </c>
      <c r="N29" s="18" t="inlineStr">
        <is>
          <t>2601015</t>
        </is>
      </c>
      <c r="O29" s="25" t="inlineStr">
        <is>
          <t>NO es de Argentina: es del evento de Uruguay.</t>
        </is>
      </c>
    </row>
    <row r="30" ht="40" customHeight="1">
      <c r="A30" s="16" t="inlineStr">
        <is>
          <t>Agus (personal)</t>
        </is>
      </c>
      <c r="B30" s="17" t="inlineStr">
        <is>
          <t>Handys Baofeng + diademas con VOX</t>
        </is>
      </c>
      <c r="C30" s="18" t="inlineStr">
        <is>
          <t>Argentina</t>
        </is>
      </c>
      <c r="D30" s="19" t="inlineStr">
        <is>
          <t>Facturado</t>
        </is>
      </c>
      <c r="E30" s="20" t="inlineStr">
        <is>
          <t>USD</t>
        </is>
      </c>
      <c r="F30" s="21" t="n"/>
      <c r="G30" s="21" t="n"/>
      <c r="H30" s="22" t="n">
        <v>560</v>
      </c>
      <c r="I30" s="23" t="n">
        <v>1</v>
      </c>
      <c r="J30" s="21" t="n">
        <v>560</v>
      </c>
      <c r="K30" s="21" t="n">
        <v>0</v>
      </c>
      <c r="L30" s="22" t="n">
        <v>560</v>
      </c>
      <c r="M30" s="24" t="inlineStr">
        <is>
          <t>USDT — Red BSC BEP-20</t>
        </is>
      </c>
      <c r="N30" s="18" t="inlineStr">
        <is>
          <t>—</t>
        </is>
      </c>
      <c r="O30" s="25" t="inlineStr">
        <is>
          <t>Sin IVA. Ya comprados y pagados. Verificar wallet por segundo canal y guardar el hash de la transacción.</t>
        </is>
      </c>
    </row>
    <row r="31" ht="40" customHeight="1">
      <c r="A31" s="16" t="inlineStr">
        <is>
          <t>FERROSVEL</t>
        </is>
      </c>
      <c r="B31" s="17" t="inlineStr">
        <is>
          <t>Barras de hierro</t>
        </is>
      </c>
      <c r="C31" s="18" t="inlineStr">
        <is>
          <t>Colombia</t>
        </is>
      </c>
      <c r="D31" s="19" t="inlineStr">
        <is>
          <t>Facturado</t>
        </is>
      </c>
      <c r="E31" s="20" t="inlineStr">
        <is>
          <t>COP</t>
        </is>
      </c>
      <c r="F31" s="50" t="n">
        <v>8732100.300000001</v>
      </c>
      <c r="G31" s="50" t="n">
        <v>1659099.06</v>
      </c>
      <c r="H31" s="51" t="n">
        <v>10391199.36</v>
      </c>
      <c r="I31" s="23" t="n">
        <v>1</v>
      </c>
      <c r="J31" s="50" t="n">
        <v>10391199.36</v>
      </c>
      <c r="K31" s="50" t="n">
        <v>0</v>
      </c>
      <c r="L31" s="22" t="n">
        <v>3403.07</v>
      </c>
      <c r="M31" s="24" t="inlineStr">
        <is>
          <t>Transferencia</t>
        </is>
      </c>
      <c r="N31" s="18" t="inlineStr">
        <is>
          <t>2601022</t>
        </is>
      </c>
      <c r="O31" s="25" t="inlineStr">
        <is>
          <t>OJO: es COLOMBIA, no Argentina. IVA 19%. Versión FINAL en la raíz de FACTURAS DE PAGO.</t>
        </is>
      </c>
    </row>
    <row r="32" ht="40" customHeight="1">
      <c r="A32" s="16" t="inlineStr">
        <is>
          <t>Ignacio López</t>
        </is>
      </c>
      <c r="B32" s="17" t="inlineStr">
        <is>
          <t>Reintegro de gastos Rep. Dominicana</t>
        </is>
      </c>
      <c r="C32" s="18" t="inlineStr">
        <is>
          <t>Rep. Dominicana</t>
        </is>
      </c>
      <c r="D32" s="19" t="inlineStr">
        <is>
          <t>Facturado</t>
        </is>
      </c>
      <c r="E32" s="20" t="inlineStr">
        <is>
          <t>USD</t>
        </is>
      </c>
      <c r="F32" s="21" t="n"/>
      <c r="G32" s="21" t="n"/>
      <c r="H32" s="22" t="n">
        <v>1075.98</v>
      </c>
      <c r="I32" s="23" t="n">
        <v>1</v>
      </c>
      <c r="J32" s="21" t="n">
        <v>1075.98</v>
      </c>
      <c r="K32" s="21" t="n">
        <v>0</v>
      </c>
      <c r="L32" s="22" t="n">
        <v>1075.98</v>
      </c>
      <c r="M32" s="24" t="inlineStr">
        <is>
          <t>Transferencia</t>
        </is>
      </c>
      <c r="N32" s="18" t="inlineStr">
        <is>
          <t>2601023</t>
        </is>
      </c>
      <c r="O32" s="25" t="inlineStr">
        <is>
          <t>Última invoice emitida. Próximo número disponible: 2601024.</t>
        </is>
      </c>
    </row>
    <row r="33" ht="40" customHeight="1">
      <c r="A33" s="16" t="inlineStr">
        <is>
          <t>Carlos Calderón</t>
        </is>
      </c>
      <c r="B33" s="17" t="inlineStr">
        <is>
          <t>Reintegro camerinos Panamá</t>
        </is>
      </c>
      <c r="C33" s="18" t="inlineStr">
        <is>
          <t>Panamá</t>
        </is>
      </c>
      <c r="D33" s="19" t="inlineStr">
        <is>
          <t>Facturado</t>
        </is>
      </c>
      <c r="E33" s="20" t="inlineStr">
        <is>
          <t>USD</t>
        </is>
      </c>
      <c r="F33" s="21" t="n"/>
      <c r="G33" s="21" t="n"/>
      <c r="H33" s="22" t="n">
        <v>334.98</v>
      </c>
      <c r="I33" s="23" t="n">
        <v>1</v>
      </c>
      <c r="J33" s="21" t="n">
        <v>334.98</v>
      </c>
      <c r="K33" s="21" t="n">
        <v>0</v>
      </c>
      <c r="L33" s="22" t="n">
        <v>334.98</v>
      </c>
      <c r="M33" s="24" t="inlineStr">
        <is>
          <t>Transferencia</t>
        </is>
      </c>
      <c r="N33" s="18" t="inlineStr">
        <is>
          <t>2601020</t>
        </is>
      </c>
      <c r="O33" s="25" t="inlineStr">
        <is>
          <t>Subtotal de 12 comprobantes USD 297,53 + comisión bancaria. Ver Informe de Gastos Panamá.</t>
        </is>
      </c>
    </row>
    <row r="34" ht="28" customHeight="1">
      <c r="A34" s="63" t="n"/>
      <c r="B34" s="64" t="inlineStr">
        <is>
          <t>TOTAL en pesos (sin la fila unificada de Ambient, que duplica)</t>
        </is>
      </c>
      <c r="C34" s="63" t="n"/>
      <c r="D34" s="63" t="n"/>
      <c r="E34" s="63" t="n"/>
      <c r="F34" s="63" t="n"/>
      <c r="G34" s="63" t="n"/>
      <c r="H34" s="65">
        <f>SUMIFS($H$5:$H$33,$E$5:$E$33,"ARS",$A$5:$A$33,"&lt;&gt;Grupo Ambient — TOTAL UNIFICADO")</f>
        <v/>
      </c>
      <c r="I34" s="63" t="n"/>
      <c r="J34" s="63" t="n"/>
      <c r="K34" s="63" t="n"/>
      <c r="L34" s="66">
        <f>SUM($L$5:$L$33)</f>
        <v/>
      </c>
      <c r="M34" s="63" t="n"/>
      <c r="N34" s="63" t="n"/>
      <c r="O34" s="63" t="n"/>
    </row>
  </sheetData>
  <autoFilter ref="A4:O33"/>
  <mergeCells count="1">
    <mergeCell ref="A1:O1"/>
  </mergeCells>
  <conditionalFormatting sqref="A5:O33">
    <cfRule type="expression" priority="1" dxfId="0" stopIfTrue="0">
      <formula>AND($H5="",$A5&lt;&gt;"")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30" customWidth="1" min="3" max="3"/>
    <col width="18" customWidth="1" min="4" max="4"/>
    <col width="40" customWidth="1" min="5" max="5"/>
    <col width="28" customWidth="1" min="6" max="6"/>
    <col width="14" customWidth="1" min="7" max="7"/>
    <col width="46" customWidth="1" min="8" max="8"/>
    <col width="22" customWidth="1" min="9" max="9"/>
    <col width="14" customWidth="1" min="10" max="10"/>
    <col width="12" customWidth="1" min="11" max="11"/>
  </cols>
  <sheetData>
    <row r="1" ht="36" customHeight="1">
      <c r="A1" s="1" t="inlineStr">
        <is>
          <t>DATOS FISCALES Y BANCARIOS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8" customHeight="1">
      <c r="A2" s="3" t="inlineStr">
        <is>
          <t>Verificá siempre la cuenta o la wallet por un segundo canal antes de transferir.</t>
        </is>
      </c>
    </row>
    <row r="4" ht="32" customHeight="1">
      <c r="A4" s="4" t="inlineStr">
        <is>
          <t>Proveedor</t>
        </is>
      </c>
      <c r="B4" s="4" t="inlineStr">
        <is>
          <t>Servicio / concepto</t>
        </is>
      </c>
      <c r="C4" s="4" t="inlineStr">
        <is>
          <t>Razón social</t>
        </is>
      </c>
      <c r="D4" s="4" t="inlineStr">
        <is>
          <t>CUIT / Tax ID</t>
        </is>
      </c>
      <c r="E4" s="4" t="inlineStr">
        <is>
          <t>Domicilio fiscal</t>
        </is>
      </c>
      <c r="F4" s="4" t="inlineStr">
        <is>
          <t>Titular de la cuenta</t>
        </is>
      </c>
      <c r="G4" s="4" t="inlineStr">
        <is>
          <t>Banco</t>
        </is>
      </c>
      <c r="H4" s="4" t="inlineStr">
        <is>
          <t>CBU / N.º de cuenta / wallet</t>
        </is>
      </c>
      <c r="I4" s="4" t="inlineStr">
        <is>
          <t>Alias</t>
        </is>
      </c>
      <c r="J4" s="4" t="inlineStr">
        <is>
          <t>SWIFT / BIC</t>
        </is>
      </c>
      <c r="K4" s="4" t="inlineStr">
        <is>
          <t>Invoice</t>
        </is>
      </c>
    </row>
    <row r="5" ht="32" customHeight="1">
      <c r="A5" s="67" t="inlineStr">
        <is>
          <t>Grupo MET</t>
        </is>
      </c>
      <c r="B5" s="68" t="inlineStr">
        <is>
          <t>Producción técnica + entelado</t>
        </is>
      </c>
      <c r="C5" s="69" t="inlineStr">
        <is>
          <t>Grupo MET LLC</t>
        </is>
      </c>
      <c r="D5" s="69" t="inlineStr">
        <is>
          <t>—</t>
        </is>
      </c>
      <c r="E5" s="68" t="inlineStr">
        <is>
          <t>—</t>
        </is>
      </c>
      <c r="F5" s="69" t="inlineStr">
        <is>
          <t>Grupo MET LLC</t>
        </is>
      </c>
      <c r="G5" s="69" t="inlineStr">
        <is>
          <t>—</t>
        </is>
      </c>
      <c r="H5" s="70" t="inlineStr">
        <is>
          <t>—</t>
        </is>
      </c>
      <c r="I5" s="69" t="inlineStr">
        <is>
          <t>—</t>
        </is>
      </c>
      <c r="J5" s="69" t="inlineStr">
        <is>
          <t>—</t>
        </is>
      </c>
      <c r="K5" s="69" t="inlineStr">
        <is>
          <t>—</t>
        </is>
      </c>
    </row>
    <row r="6" ht="32" customHeight="1">
      <c r="A6" s="71" t="inlineStr">
        <is>
          <t>Grupo Ambient / Good Events SA</t>
        </is>
      </c>
      <c r="B6" s="72" t="inlineStr">
        <is>
          <t>Catering desayuno VIP 800 pax — Presupuesto S03362</t>
        </is>
      </c>
      <c r="C6" s="73" t="inlineStr">
        <is>
          <t>Good Events SA</t>
        </is>
      </c>
      <c r="D6" s="73" t="inlineStr">
        <is>
          <t>—</t>
        </is>
      </c>
      <c r="E6" s="72" t="inlineStr">
        <is>
          <t>—</t>
        </is>
      </c>
      <c r="F6" s="73" t="inlineStr">
        <is>
          <t>Good Events SA</t>
        </is>
      </c>
      <c r="G6" s="73" t="inlineStr">
        <is>
          <t>—</t>
        </is>
      </c>
      <c r="H6" s="74" t="inlineStr">
        <is>
          <t>—</t>
        </is>
      </c>
      <c r="I6" s="73" t="inlineStr">
        <is>
          <t>—</t>
        </is>
      </c>
      <c r="J6" s="73" t="inlineStr">
        <is>
          <t>—</t>
        </is>
      </c>
      <c r="K6" s="73" t="inlineStr">
        <is>
          <t>2601021</t>
        </is>
      </c>
    </row>
    <row r="7" ht="32" customHeight="1">
      <c r="A7" s="67" t="inlineStr">
        <is>
          <t>Grupo Ambient / Good Events SA</t>
        </is>
      </c>
      <c r="B7" s="68" t="inlineStr">
        <is>
          <t>Catering staff 150 pax — Presupuesto S03363</t>
        </is>
      </c>
      <c r="C7" s="69" t="inlineStr">
        <is>
          <t>Good Events SA</t>
        </is>
      </c>
      <c r="D7" s="69" t="inlineStr">
        <is>
          <t>—</t>
        </is>
      </c>
      <c r="E7" s="68" t="inlineStr">
        <is>
          <t>—</t>
        </is>
      </c>
      <c r="F7" s="69" t="inlineStr">
        <is>
          <t>Good Events SA</t>
        </is>
      </c>
      <c r="G7" s="69" t="inlineStr">
        <is>
          <t>—</t>
        </is>
      </c>
      <c r="H7" s="70" t="inlineStr">
        <is>
          <t>—</t>
        </is>
      </c>
      <c r="I7" s="69" t="inlineStr">
        <is>
          <t>—</t>
        </is>
      </c>
      <c r="J7" s="69" t="inlineStr">
        <is>
          <t>—</t>
        </is>
      </c>
      <c r="K7" s="69" t="inlineStr">
        <is>
          <t>2601021</t>
        </is>
      </c>
    </row>
    <row r="8" ht="32" customHeight="1">
      <c r="A8" s="71" t="inlineStr">
        <is>
          <t>Grupo Ambient — TOTAL UNIFICADO</t>
        </is>
      </c>
      <c r="B8" s="72" t="inlineStr">
        <is>
          <t>Anticipo 50% de S03362 + S03363</t>
        </is>
      </c>
      <c r="C8" s="73" t="inlineStr">
        <is>
          <t>Good Events SA</t>
        </is>
      </c>
      <c r="D8" s="73" t="inlineStr">
        <is>
          <t>—</t>
        </is>
      </c>
      <c r="E8" s="72" t="inlineStr">
        <is>
          <t>—</t>
        </is>
      </c>
      <c r="F8" s="73" t="inlineStr">
        <is>
          <t>Good Events SA</t>
        </is>
      </c>
      <c r="G8" s="73" t="inlineStr">
        <is>
          <t>—</t>
        </is>
      </c>
      <c r="H8" s="74" t="inlineStr">
        <is>
          <t>—</t>
        </is>
      </c>
      <c r="I8" s="73" t="inlineStr">
        <is>
          <t>—</t>
        </is>
      </c>
      <c r="J8" s="73" t="inlineStr">
        <is>
          <t>—</t>
        </is>
      </c>
      <c r="K8" s="73" t="inlineStr">
        <is>
          <t>2601021</t>
        </is>
      </c>
    </row>
    <row r="9" ht="32" customHeight="1">
      <c r="A9" s="67" t="inlineStr">
        <is>
          <t>Road Seguridad</t>
        </is>
      </c>
      <c r="B9" s="68" t="inlineStr">
        <is>
          <t>Seguridad y vigilancia 2-3-4 oct</t>
        </is>
      </c>
      <c r="C9" s="69" t="inlineStr">
        <is>
          <t>Road Seguridad S.A.</t>
        </is>
      </c>
      <c r="D9" s="69" t="inlineStr">
        <is>
          <t>—</t>
        </is>
      </c>
      <c r="E9" s="68" t="inlineStr">
        <is>
          <t>Esteban Echeverría 2864 — Munro B1605DSR — Buenos Aires</t>
        </is>
      </c>
      <c r="F9" s="69" t="inlineStr">
        <is>
          <t>Road Seguridad S.A.</t>
        </is>
      </c>
      <c r="G9" s="69" t="inlineStr">
        <is>
          <t>—</t>
        </is>
      </c>
      <c r="H9" s="70" t="inlineStr">
        <is>
          <t>—</t>
        </is>
      </c>
      <c r="I9" s="69" t="inlineStr">
        <is>
          <t>—</t>
        </is>
      </c>
      <c r="J9" s="69" t="inlineStr">
        <is>
          <t>—</t>
        </is>
      </c>
      <c r="K9" s="69" t="inlineStr">
        <is>
          <t>—</t>
        </is>
      </c>
    </row>
    <row r="10" ht="32" customHeight="1">
      <c r="A10" s="71" t="inlineStr">
        <is>
          <t>Vittal (Socorro Médico Privado SA)</t>
        </is>
      </c>
      <c r="B10" s="72" t="inlineStr">
        <is>
          <t>Servicio médico — ambulancia UTIM + 2 médicos + enfermero</t>
        </is>
      </c>
      <c r="C10" s="73" t="inlineStr">
        <is>
          <t>Socorro Médico Privado S.A.</t>
        </is>
      </c>
      <c r="D10" s="73" t="inlineStr">
        <is>
          <t>—</t>
        </is>
      </c>
      <c r="E10" s="72" t="inlineStr">
        <is>
          <t>Av. Álvarez Thomas 1154 (C1427CCY) CABA</t>
        </is>
      </c>
      <c r="F10" s="73" t="inlineStr">
        <is>
          <t>Socorro Médico Privado S.A.</t>
        </is>
      </c>
      <c r="G10" s="73" t="inlineStr">
        <is>
          <t>—</t>
        </is>
      </c>
      <c r="H10" s="74" t="inlineStr">
        <is>
          <t>—</t>
        </is>
      </c>
      <c r="I10" s="73" t="inlineStr">
        <is>
          <t>—</t>
        </is>
      </c>
      <c r="J10" s="73" t="inlineStr">
        <is>
          <t>—</t>
        </is>
      </c>
      <c r="K10" s="73" t="inlineStr">
        <is>
          <t>—</t>
        </is>
      </c>
    </row>
    <row r="11" ht="32" customHeight="1">
      <c r="A11" s="67" t="inlineStr">
        <is>
          <t>REMERASYESTAMPADOS</t>
        </is>
      </c>
      <c r="B11" s="68" t="inlineStr">
        <is>
          <t>Remeras × $14.110 — PAGO TOTAL 100%</t>
        </is>
      </c>
      <c r="C11" s="69" t="inlineStr">
        <is>
          <t>Leandro Daniel Petracci</t>
        </is>
      </c>
      <c r="D11" s="69" t="inlineStr">
        <is>
          <t>—</t>
        </is>
      </c>
      <c r="E11" s="68" t="inlineStr">
        <is>
          <t>Uruguay 41 — Villa Martelli CP 1603</t>
        </is>
      </c>
      <c r="F11" s="69" t="inlineStr">
        <is>
          <t>Leandro Daniel Petracci</t>
        </is>
      </c>
      <c r="G11" s="69" t="inlineStr">
        <is>
          <t>Galicia</t>
        </is>
      </c>
      <c r="H11" s="70" t="inlineStr">
        <is>
          <t>0070056630004018140418</t>
        </is>
      </c>
      <c r="I11" s="69" t="inlineStr">
        <is>
          <t>—</t>
        </is>
      </c>
      <c r="J11" s="69" t="inlineStr">
        <is>
          <t>GABAARBA</t>
        </is>
      </c>
      <c r="K11" s="69" t="inlineStr">
        <is>
          <t>2601017</t>
        </is>
      </c>
    </row>
    <row r="12" ht="32" customHeight="1">
      <c r="A12" s="71" t="inlineStr">
        <is>
          <t>REMERASYESTAMPADOS</t>
        </is>
      </c>
      <c r="B12" s="72" t="inlineStr">
        <is>
          <t>Pañuelos — PAGO 50%</t>
        </is>
      </c>
      <c r="C12" s="73" t="inlineStr">
        <is>
          <t>Leandro Daniel Petracci</t>
        </is>
      </c>
      <c r="D12" s="73" t="inlineStr">
        <is>
          <t>—</t>
        </is>
      </c>
      <c r="E12" s="72" t="inlineStr">
        <is>
          <t>Uruguay 41 — Villa Martelli CP 1603</t>
        </is>
      </c>
      <c r="F12" s="73" t="inlineStr">
        <is>
          <t>Leandro Daniel Petracci</t>
        </is>
      </c>
      <c r="G12" s="73" t="inlineStr">
        <is>
          <t>Galicia</t>
        </is>
      </c>
      <c r="H12" s="74" t="inlineStr">
        <is>
          <t>0070056630004018140418</t>
        </is>
      </c>
      <c r="I12" s="73" t="inlineStr">
        <is>
          <t>—</t>
        </is>
      </c>
      <c r="J12" s="73" t="inlineStr">
        <is>
          <t>GABAARBA</t>
        </is>
      </c>
      <c r="K12" s="73" t="inlineStr">
        <is>
          <t>2601019</t>
        </is>
      </c>
    </row>
    <row r="13" ht="32" customHeight="1">
      <c r="A13" s="67" t="inlineStr">
        <is>
          <t>REMERASYESTAMPADOS</t>
        </is>
      </c>
      <c r="B13" s="68" t="inlineStr">
        <is>
          <t>Bordado de gorras — PAGO TOTAL 100%</t>
        </is>
      </c>
      <c r="C13" s="69" t="inlineStr">
        <is>
          <t>Leandro Daniel Petracci</t>
        </is>
      </c>
      <c r="D13" s="69" t="inlineStr">
        <is>
          <t>—</t>
        </is>
      </c>
      <c r="E13" s="68" t="inlineStr">
        <is>
          <t>Uruguay 41 — Villa Martelli CP 1603</t>
        </is>
      </c>
      <c r="F13" s="69" t="inlineStr">
        <is>
          <t>Leandro Daniel Petracci</t>
        </is>
      </c>
      <c r="G13" s="69" t="inlineStr">
        <is>
          <t>Galicia</t>
        </is>
      </c>
      <c r="H13" s="70" t="inlineStr">
        <is>
          <t>0070056630004018140418</t>
        </is>
      </c>
      <c r="I13" s="69" t="inlineStr">
        <is>
          <t>—</t>
        </is>
      </c>
      <c r="J13" s="69" t="inlineStr">
        <is>
          <t>GABAARBA</t>
        </is>
      </c>
      <c r="K13" s="69" t="inlineStr">
        <is>
          <t>2601016</t>
        </is>
      </c>
    </row>
    <row r="14" ht="32" customHeight="1">
      <c r="A14" s="71" t="inlineStr">
        <is>
          <t>DUK GROUP (DUK CATAMARCA SRL)</t>
        </is>
      </c>
      <c r="B14" s="72" t="inlineStr">
        <is>
          <t>Bordado de gorras — COTIZACIÓN NO ADJUDICADA</t>
        </is>
      </c>
      <c r="C14" s="73" t="inlineStr">
        <is>
          <t>DUK CATAMARCA S.R.L.</t>
        </is>
      </c>
      <c r="D14" s="73" t="inlineStr">
        <is>
          <t>30-71848443-6</t>
        </is>
      </c>
      <c r="E14" s="72" t="inlineStr">
        <is>
          <t>Av. Libertador 1644 — Moreno CP 1744</t>
        </is>
      </c>
      <c r="F14" s="73" t="inlineStr">
        <is>
          <t>DUK CATAMARCA S.R.L.</t>
        </is>
      </c>
      <c r="G14" s="73" t="inlineStr">
        <is>
          <t>Supervielle</t>
        </is>
      </c>
      <c r="H14" s="74" t="inlineStr">
        <is>
          <t>0270027410055637600021</t>
        </is>
      </c>
      <c r="I14" s="73" t="inlineStr">
        <is>
          <t>DUKCATAMARCA.SUP</t>
        </is>
      </c>
      <c r="J14" s="73" t="inlineStr">
        <is>
          <t>BSUPARBAXXX</t>
        </is>
      </c>
      <c r="K14" s="73" t="inlineStr">
        <is>
          <t>—</t>
        </is>
      </c>
    </row>
    <row r="15" ht="32" customHeight="1">
      <c r="A15" s="67" t="inlineStr">
        <is>
          <t>TEXTILRYU</t>
        </is>
      </c>
      <c r="B15" s="68" t="inlineStr">
        <is>
          <t>940 gorras × $2.367</t>
        </is>
      </c>
      <c r="C15" s="69" t="inlineStr">
        <is>
          <t>—</t>
        </is>
      </c>
      <c r="D15" s="69" t="inlineStr">
        <is>
          <t>—</t>
        </is>
      </c>
      <c r="E15" s="68" t="inlineStr">
        <is>
          <t>—</t>
        </is>
      </c>
      <c r="F15" s="69" t="inlineStr">
        <is>
          <t>—</t>
        </is>
      </c>
      <c r="G15" s="69" t="inlineStr">
        <is>
          <t>—</t>
        </is>
      </c>
      <c r="H15" s="70" t="inlineStr">
        <is>
          <t>—</t>
        </is>
      </c>
      <c r="I15" s="69" t="inlineStr">
        <is>
          <t>—</t>
        </is>
      </c>
      <c r="J15" s="69" t="inlineStr">
        <is>
          <t>BSCHARBAXXX</t>
        </is>
      </c>
      <c r="K15" s="69" t="inlineStr">
        <is>
          <t>—</t>
        </is>
      </c>
    </row>
    <row r="16" ht="32" customHeight="1">
      <c r="A16" s="71" t="inlineStr">
        <is>
          <t>Leotex</t>
        </is>
      </c>
      <c r="B16" s="72" t="inlineStr">
        <is>
          <t>Lanyards — PAGO TOTAL</t>
        </is>
      </c>
      <c r="C16" s="73" t="inlineStr">
        <is>
          <t>Leotex</t>
        </is>
      </c>
      <c r="D16" s="73" t="inlineStr">
        <is>
          <t>—</t>
        </is>
      </c>
      <c r="E16" s="72" t="inlineStr">
        <is>
          <t>Marengo 4178 — Villa Ballester CP 1653</t>
        </is>
      </c>
      <c r="F16" s="73" t="inlineStr">
        <is>
          <t>Leotex</t>
        </is>
      </c>
      <c r="G16" s="73" t="inlineStr">
        <is>
          <t>Galicia</t>
        </is>
      </c>
      <c r="H16" s="74" t="inlineStr">
        <is>
          <t>0070140820000004589444</t>
        </is>
      </c>
      <c r="I16" s="73" t="inlineStr">
        <is>
          <t>—</t>
        </is>
      </c>
      <c r="J16" s="73" t="inlineStr">
        <is>
          <t>GABAARBA</t>
        </is>
      </c>
      <c r="K16" s="73" t="inlineStr">
        <is>
          <t>2601018</t>
        </is>
      </c>
    </row>
    <row r="17" ht="32" customHeight="1">
      <c r="A17" s="67" t="inlineStr">
        <is>
          <t>Derqui Impresiones</t>
        </is>
      </c>
      <c r="B17" s="68" t="inlineStr">
        <is>
          <t>Gráfica Argentina</t>
        </is>
      </c>
      <c r="C17" s="69" t="inlineStr">
        <is>
          <t>Germán Ariel Marino</t>
        </is>
      </c>
      <c r="D17" s="69" t="inlineStr">
        <is>
          <t>—</t>
        </is>
      </c>
      <c r="E17" s="68" t="inlineStr">
        <is>
          <t>Charrúa 3366 CABA — CP 1437</t>
        </is>
      </c>
      <c r="F17" s="69" t="inlineStr">
        <is>
          <t>Germán Ariel Marino</t>
        </is>
      </c>
      <c r="G17" s="69" t="inlineStr">
        <is>
          <t>BBVA</t>
        </is>
      </c>
      <c r="H17" s="70" t="inlineStr">
        <is>
          <t>0170107020000001722338</t>
        </is>
      </c>
      <c r="I17" s="69" t="inlineStr">
        <is>
          <t>ESTADO.GRINGO.ENTERO</t>
        </is>
      </c>
      <c r="J17" s="69" t="inlineStr">
        <is>
          <t>BBVAARBA</t>
        </is>
      </c>
      <c r="K17" s="69" t="inlineStr">
        <is>
          <t>2601014</t>
        </is>
      </c>
    </row>
    <row r="18" ht="32" customHeight="1">
      <c r="A18" s="71" t="inlineStr">
        <is>
          <t>Derqui Impresiones</t>
        </is>
      </c>
      <c r="B18" s="72" t="inlineStr">
        <is>
          <t>Gráfica Uruguay</t>
        </is>
      </c>
      <c r="C18" s="73" t="inlineStr">
        <is>
          <t>Germán Ariel Marino</t>
        </is>
      </c>
      <c r="D18" s="73" t="inlineStr">
        <is>
          <t>—</t>
        </is>
      </c>
      <c r="E18" s="72" t="inlineStr">
        <is>
          <t>Charrúa 3366 CABA — CP 1437</t>
        </is>
      </c>
      <c r="F18" s="73" t="inlineStr">
        <is>
          <t>Germán Ariel Marino</t>
        </is>
      </c>
      <c r="G18" s="73" t="inlineStr">
        <is>
          <t>BBVA</t>
        </is>
      </c>
      <c r="H18" s="74" t="inlineStr">
        <is>
          <t>0170107020000001722338</t>
        </is>
      </c>
      <c r="I18" s="73" t="inlineStr">
        <is>
          <t>ESTADO.GRINGO.ENTERO</t>
        </is>
      </c>
      <c r="J18" s="73" t="inlineStr">
        <is>
          <t>BBVAARBA</t>
        </is>
      </c>
      <c r="K18" s="73" t="inlineStr">
        <is>
          <t>2601015</t>
        </is>
      </c>
    </row>
    <row r="19" ht="32" customHeight="1">
      <c r="A19" s="67" t="inlineStr">
        <is>
          <t>Agus (personal)</t>
        </is>
      </c>
      <c r="B19" s="68" t="inlineStr">
        <is>
          <t>Handys Baofeng + diademas con VOX</t>
        </is>
      </c>
      <c r="C19" s="69" t="inlineStr">
        <is>
          <t>—</t>
        </is>
      </c>
      <c r="D19" s="69" t="inlineStr">
        <is>
          <t>—</t>
        </is>
      </c>
      <c r="E19" s="68" t="inlineStr">
        <is>
          <t>—</t>
        </is>
      </c>
      <c r="F19" s="69" t="inlineStr">
        <is>
          <t>—</t>
        </is>
      </c>
      <c r="G19" s="69" t="inlineStr">
        <is>
          <t>—</t>
        </is>
      </c>
      <c r="H19" s="70" t="inlineStr">
        <is>
          <t>0x7d0a6c347008305af1d6643c2382e1495af7dc0e</t>
        </is>
      </c>
      <c r="I19" s="69" t="inlineStr">
        <is>
          <t>—</t>
        </is>
      </c>
      <c r="J19" s="69" t="inlineStr">
        <is>
          <t>—</t>
        </is>
      </c>
      <c r="K19" s="69" t="inlineStr">
        <is>
          <t>—</t>
        </is>
      </c>
    </row>
  </sheetData>
  <autoFilter ref="A4:K19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92" customWidth="1" min="3" max="3"/>
    <col width="26" customWidth="1" min="4" max="4"/>
  </cols>
  <sheetData>
    <row r="1" ht="36" customHeight="1">
      <c r="A1" s="1" t="inlineStr">
        <is>
          <t>LO QUE ESTÁ TRABADO</t>
        </is>
      </c>
      <c r="B1" s="2" t="n"/>
      <c r="C1" s="2" t="n"/>
      <c r="D1" s="2" t="n"/>
    </row>
    <row r="2" ht="18" customHeight="1">
      <c r="A2" s="3" t="inlineStr">
        <is>
          <t>Todo lo que no puede avanzar hasta que alguien haga algo.</t>
        </is>
      </c>
    </row>
    <row r="4" ht="32" customHeight="1">
      <c r="A4" s="4" t="inlineStr">
        <is>
          <t>Prioridad</t>
        </is>
      </c>
      <c r="B4" s="4" t="inlineStr">
        <is>
          <t>Proveedor</t>
        </is>
      </c>
      <c r="C4" s="4" t="inlineStr">
        <is>
          <t>Qué falta</t>
        </is>
      </c>
      <c r="D4" s="4" t="inlineStr">
        <is>
          <t>Estado</t>
        </is>
      </c>
    </row>
    <row r="5" ht="42" customHeight="1">
      <c r="A5" s="75" t="inlineStr">
        <is>
          <t>1 · TRABADO</t>
        </is>
      </c>
      <c r="B5" s="76" t="inlineStr">
        <is>
          <t>Chanes Seguros</t>
        </is>
      </c>
      <c r="C5" s="77" t="inlineStr">
        <is>
          <t>Néstor prometió el 13/07 pasar el costo. Nunca llegó y La Rural suele exigir RC. RECLAMAR.</t>
        </is>
      </c>
      <c r="D5" s="78" t="inlineStr">
        <is>
          <t>NUNCA LLEGÓ</t>
        </is>
      </c>
    </row>
    <row r="6" ht="42" customHeight="1">
      <c r="A6" s="75" t="inlineStr">
        <is>
          <t>1 · TRABADO</t>
        </is>
      </c>
      <c r="B6" s="76" t="inlineStr">
        <is>
          <t>Baños químicos</t>
        </is>
      </c>
      <c r="C6" s="77" t="inlineStr">
        <is>
          <t>Pendiente del plano del predio. Sin proveedor asignado.</t>
        </is>
      </c>
      <c r="D6" s="78" t="inlineStr">
        <is>
          <t>Bloqueado</t>
        </is>
      </c>
    </row>
    <row r="7" ht="42" customHeight="1">
      <c r="A7" s="75" t="inlineStr">
        <is>
          <t>1 · TRABADO</t>
        </is>
      </c>
      <c r="B7" s="76" t="inlineStr">
        <is>
          <t>Food trucks</t>
        </is>
      </c>
      <c r="C7" s="77" t="inlineStr">
        <is>
          <t>La Rural nunca indicó con quién gestionar la autorización (pedido el 24/06).</t>
        </is>
      </c>
      <c r="D7" s="78" t="inlineStr">
        <is>
          <t>Bloqueado</t>
        </is>
      </c>
    </row>
    <row r="8" ht="42" customHeight="1">
      <c r="A8" s="75" t="inlineStr">
        <is>
          <t>1 · TRABADO</t>
        </is>
      </c>
      <c r="B8" s="76" t="inlineStr">
        <is>
          <t>TEXTILRYU</t>
        </is>
      </c>
      <c r="C8" s="77" t="inlineStr">
        <is>
          <t>REVISAR: 940 × $2.367 = $2.224.980 estimado. No hay invoice en la carpeta. ¿Se pagó por otra vía? Ojo con el doble 5% que se corrigió.</t>
        </is>
      </c>
      <c r="D8" s="78" t="inlineStr">
        <is>
          <t>SIN INVOICE EMITIDA</t>
        </is>
      </c>
    </row>
    <row r="9" ht="42" customHeight="1">
      <c r="A9" s="79" t="inlineStr">
        <is>
          <t>2 · FALTA MONTO</t>
        </is>
      </c>
      <c r="B9" s="80" t="inlineStr">
        <is>
          <t>La Rural S.A.</t>
        </is>
      </c>
      <c r="C9" s="81" t="inlineStr">
        <is>
          <t>FALTA MONTO. Contrato CC-00957. 10.320 m². 2-3-4 oct 2026. No hay invoice IIDAI ni registro de pago del contrato del predio.</t>
        </is>
      </c>
      <c r="D9" s="82" t="inlineStr">
        <is>
          <t>Contratado</t>
        </is>
      </c>
    </row>
    <row r="10" ht="42" customHeight="1">
      <c r="A10" s="79" t="inlineStr">
        <is>
          <t>2 · FALTA MONTO</t>
        </is>
      </c>
      <c r="B10" s="80" t="inlineStr">
        <is>
          <t>La Rural — Infraestructura</t>
        </is>
      </c>
      <c r="C10" s="81" t="inlineStr">
        <is>
          <t>FALTA MONTO — está en el PDF del mail del 17/08. Guardar en Drive para cargarlo.</t>
        </is>
      </c>
      <c r="D10" s="82" t="inlineStr">
        <is>
          <t>Presupuesto recibido sin responder</t>
        </is>
      </c>
    </row>
    <row r="11" ht="42" customHeight="1">
      <c r="A11" s="79" t="inlineStr">
        <is>
          <t>2 · FALTA MONTO</t>
        </is>
      </c>
      <c r="B11" s="80" t="inlineStr">
        <is>
          <t>La Rural — Conectividad</t>
        </is>
      </c>
      <c r="C11" s="81" t="inlineStr">
        <is>
          <t>FALTA MONTO — presupuesto del 16/06 en PDF. Recotización a 100 Mbps pedida el 05/08, sin respuesta.</t>
        </is>
      </c>
      <c r="D11" s="82" t="inlineStr">
        <is>
          <t>Esperando recotización</t>
        </is>
      </c>
    </row>
    <row r="12" ht="42" customHeight="1">
      <c r="A12" s="79" t="inlineStr">
        <is>
          <t>2 · FALTA MONTO</t>
        </is>
      </c>
      <c r="B12" s="80" t="inlineStr">
        <is>
          <t>Grupo MET</t>
        </is>
      </c>
      <c r="C12" s="81" t="inlineStr">
        <is>
          <t>FALTA MONTO TOTAL. Pagado USD 5.000 vía Mercury (INV-11, 31/07). Contacto: Lalo. Sus mails salientes fallaban: confirmar por WhatsApp. Descuento ~15M ARS.</t>
        </is>
      </c>
      <c r="D12" s="82" t="inlineStr">
        <is>
          <t>Cerrado + señado</t>
        </is>
      </c>
    </row>
    <row r="13" ht="42" customHeight="1">
      <c r="A13" s="79" t="inlineStr">
        <is>
          <t>2 · FALTA MONTO</t>
        </is>
      </c>
      <c r="B13" s="80" t="inlineStr">
        <is>
          <t>Higia Eventos</t>
        </is>
      </c>
      <c r="C13" s="81" t="inlineStr">
        <is>
          <t>FALTA MONTO — presupuesto de Yanina Cruz del 22/06 en PDF. Ajuste pedido el 11/08, sin respuesta. Incluir desayuno VIP del domingo 8am.</t>
        </is>
      </c>
      <c r="D13" s="82" t="inlineStr">
        <is>
          <t>Cerrado — esperando presupuesto ajustado</t>
        </is>
      </c>
    </row>
    <row r="14" ht="42" customHeight="1">
      <c r="A14" s="79" t="inlineStr">
        <is>
          <t>2 · FALTA MONTO</t>
        </is>
      </c>
      <c r="B14" s="80" t="inlineStr">
        <is>
          <t>Gale Servicios</t>
        </is>
      </c>
      <c r="C14" s="81" t="inlineStr">
        <is>
          <t>FALTA MONTO — cotización de Yanina Cruz del 22/06 en PDF. Proveedor exclusivo del predio. Mismo grupo que Higia.</t>
        </is>
      </c>
      <c r="D14" s="82" t="inlineStr">
        <is>
          <t>Cerrado — esperando seña</t>
        </is>
      </c>
    </row>
    <row r="15" ht="42" customHeight="1">
      <c r="A15" s="79" t="inlineStr">
        <is>
          <t>2 · FALTA MONTO</t>
        </is>
      </c>
      <c r="B15" s="80" t="inlineStr">
        <is>
          <t>Road Seguridad</t>
        </is>
      </c>
      <c r="C15" s="81" t="inlineStr">
        <is>
          <t>FALTA MONTO — está en el XLS del 12/08. OJO: el archivo se llama "3 Y 4 DE OCTUBRE" y el esquema incluye el viernes 2 (montaje). VERIFICAR que cotizaron los 3 días. Contacto: Javier Celiz. Tarifa de junio: actualizar a octubre.</t>
        </is>
      </c>
      <c r="D15" s="82" t="inlineStr">
        <is>
          <t>Negociación</t>
        </is>
      </c>
    </row>
    <row r="16" ht="42" customHeight="1">
      <c r="A16" s="79" t="inlineStr">
        <is>
          <t>2 · FALTA MONTO</t>
        </is>
      </c>
      <c r="B16" s="80" t="inlineStr">
        <is>
          <t>Mobiliario / sillas</t>
        </is>
      </c>
      <c r="C16" s="81" t="inlineStr">
        <is>
          <t>FALTA MONTO — presupuesto FDL del 07/08. FDL NO factura al exterior (usa un tercero que emite en USA). Casablanca sólo las 1.000 tapizadas. Sealquilatodo sin respuesta.</t>
        </is>
      </c>
      <c r="D16" s="82" t="inlineStr">
        <is>
          <t>Negociación</t>
        </is>
      </c>
    </row>
    <row r="17" ht="42" customHeight="1">
      <c r="A17" s="79" t="inlineStr">
        <is>
          <t>2 · FALTA MONTO</t>
        </is>
      </c>
      <c r="B17" s="80" t="inlineStr">
        <is>
          <t>Colorvox</t>
        </is>
      </c>
      <c r="C17" s="81" t="inlineStr">
        <is>
          <t>FALTA MONTO — dos cotizaciones del 24/08 en PDF. Contacto: Alejandra Corzo / Héctor Caldera.</t>
        </is>
      </c>
      <c r="D17" s="82" t="inlineStr">
        <is>
          <t>Cotización recibida</t>
        </is>
      </c>
    </row>
    <row r="18" ht="42" customHeight="1">
      <c r="A18" s="83" t="inlineStr">
        <is>
          <t>3 · A VERIFICAR</t>
        </is>
      </c>
      <c r="B18" s="84" t="inlineStr">
        <is>
          <t>Chanes Seguros</t>
        </is>
      </c>
      <c r="C18" s="85" t="inlineStr">
        <is>
          <t>MONTO CONFIRMADO por mail del 13/07. Confirmar si incluye IVA. Falta póliza emitida.</t>
        </is>
      </c>
      <c r="D18" s="86" t="inlineStr">
        <is>
          <t>Cerrado — esperando seña</t>
        </is>
      </c>
    </row>
    <row r="19" ht="42" customHeight="1">
      <c r="A19" s="83" t="inlineStr">
        <is>
          <t>3 · A VERIFICAR</t>
        </is>
      </c>
      <c r="B19" s="84" t="inlineStr">
        <is>
          <t>Leotex</t>
        </is>
      </c>
      <c r="C19" s="85" t="inlineStr">
        <is>
          <t>REVISAR: existen DOS invoices 2601018, una por el 50% ($1.252.713) y otra por el TOTAL ($2.505.426, ref. 2601013). Confirmar cuál se pagó.</t>
        </is>
      </c>
      <c r="D19" s="86" t="inlineStr">
        <is>
          <t>Facturado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4" customWidth="1" min="3" max="3"/>
    <col width="22" customWidth="1" min="4" max="4"/>
    <col width="16" customWidth="1" min="5" max="5"/>
  </cols>
  <sheetData>
    <row r="1" ht="36" customHeight="1">
      <c r="A1" s="1" t="inlineStr">
        <is>
          <t>RESUMEN POR ESTADO</t>
        </is>
      </c>
      <c r="B1" s="2" t="n"/>
      <c r="C1" s="2" t="n"/>
      <c r="D1" s="2" t="n"/>
      <c r="E1" s="2" t="n"/>
    </row>
    <row r="2" ht="18" customHeight="1">
      <c r="A2" s="3" t="inlineStr">
        <is>
          <t>Solo pesos argentinos: los $10.391.199 de FERROSVEL son pesos colombianos y van aparte. No incluye la fila unificada de Ambient, que duplica los dos presupuestos de catering.</t>
        </is>
      </c>
    </row>
    <row r="4" ht="32" customHeight="1">
      <c r="A4" s="4" t="inlineStr">
        <is>
          <t>Estado</t>
        </is>
      </c>
      <c r="B4" s="4" t="inlineStr">
        <is>
          <t>Ítems</t>
        </is>
      </c>
      <c r="C4" s="4" t="inlineStr"/>
      <c r="D4" s="4" t="inlineStr">
        <is>
          <t>Total en pesos argentinos</t>
        </is>
      </c>
      <c r="E4" s="4" t="inlineStr">
        <is>
          <t>Equiv. USD</t>
        </is>
      </c>
    </row>
    <row r="5" ht="24" customHeight="1">
      <c r="A5" s="87" t="inlineStr">
        <is>
          <t>Trabado / riesgo</t>
        </is>
      </c>
      <c r="B5" s="88" t="n">
        <v>4</v>
      </c>
      <c r="C5" s="89">
        <f>REPT("|",B5*3)</f>
        <v/>
      </c>
      <c r="D5" s="90" t="n"/>
      <c r="E5" s="91" t="n"/>
    </row>
    <row r="6" ht="24" customHeight="1">
      <c r="A6" s="92" t="inlineStr">
        <is>
          <t>En gestión</t>
        </is>
      </c>
      <c r="B6" s="93" t="n">
        <v>7</v>
      </c>
      <c r="C6" s="94">
        <f>REPT("|",B6*3)</f>
        <v/>
      </c>
      <c r="D6" s="95" t="n">
        <v>7646843.45</v>
      </c>
      <c r="E6" s="96" t="n"/>
    </row>
    <row r="7" ht="24" customHeight="1">
      <c r="A7" s="97" t="inlineStr">
        <is>
          <t>Cerrado, falta señar</t>
        </is>
      </c>
      <c r="B7" s="98" t="n">
        <v>6</v>
      </c>
      <c r="C7" s="99">
        <f>REPT("|",B7*3)</f>
        <v/>
      </c>
      <c r="D7" s="100" t="n">
        <v>31148580.93</v>
      </c>
      <c r="E7" s="101" t="n">
        <v>9835.639999999999</v>
      </c>
    </row>
    <row r="8" ht="24" customHeight="1">
      <c r="A8" s="102" t="inlineStr">
        <is>
          <t>Facturado / pagado</t>
        </is>
      </c>
      <c r="B8" s="103" t="n">
        <v>11</v>
      </c>
      <c r="C8" s="104">
        <f>REPT("|",B8*3)</f>
        <v/>
      </c>
      <c r="D8" s="105" t="n">
        <v>31169538.06</v>
      </c>
      <c r="E8" s="106" t="n">
        <v>25403.41</v>
      </c>
    </row>
    <row r="9" ht="24" customHeight="1">
      <c r="A9" s="107" t="inlineStr">
        <is>
          <t>Descartado</t>
        </is>
      </c>
      <c r="B9" s="108" t="n">
        <v>1</v>
      </c>
      <c r="C9" s="109">
        <f>REPT("|",B9*3)</f>
        <v/>
      </c>
      <c r="D9" s="110" t="n">
        <v>3358185.6</v>
      </c>
      <c r="E9" s="111" t="n">
        <v>2276.74</v>
      </c>
    </row>
    <row r="10" ht="28" customHeight="1">
      <c r="A10" s="112" t="inlineStr">
        <is>
          <t>TOTAL</t>
        </is>
      </c>
      <c r="B10" s="113">
        <f>SUM(B5:B9)</f>
        <v/>
      </c>
      <c r="C10" s="63" t="n"/>
      <c r="D10" s="65">
        <f>SUM(D5:D9)</f>
        <v/>
      </c>
      <c r="E10" s="66">
        <f>SUM(E5:E9)</f>
        <v/>
      </c>
    </row>
    <row r="12">
      <c r="A12" s="114" t="inlineStr">
        <is>
          <t>CÓMO LEER LOS COLORES</t>
        </is>
      </c>
    </row>
    <row r="13">
      <c r="A13" s="115" t="inlineStr">
        <is>
          <t>Rojo — trabado: nadie puede avanzar hasta que se resuelva.</t>
        </is>
      </c>
      <c r="B13" s="116" t="n"/>
      <c r="C13" s="116" t="n"/>
      <c r="D13" s="116" t="n"/>
      <c r="E13" s="117" t="n"/>
    </row>
    <row r="14">
      <c r="A14" s="118" t="inlineStr">
        <is>
          <t>Azul — en gestión: hay ida y vuelta con el proveedor.</t>
        </is>
      </c>
      <c r="B14" s="116" t="n"/>
      <c r="C14" s="116" t="n"/>
      <c r="D14" s="116" t="n"/>
      <c r="E14" s="117" t="n"/>
    </row>
    <row r="15">
      <c r="A15" s="119" t="inlineStr">
        <is>
          <t>Naranja — cerrado, falta señar: el número está, falta la plata.</t>
        </is>
      </c>
      <c r="B15" s="116" t="n"/>
      <c r="C15" s="116" t="n"/>
      <c r="D15" s="116" t="n"/>
      <c r="E15" s="117" t="n"/>
    </row>
    <row r="16">
      <c r="A16" s="120" t="inlineStr">
        <is>
          <t>Verde — facturado o pagado.</t>
        </is>
      </c>
      <c r="B16" s="116" t="n"/>
      <c r="C16" s="116" t="n"/>
      <c r="D16" s="116" t="n"/>
      <c r="E16" s="117" t="n"/>
    </row>
    <row r="17">
      <c r="A17" s="121" t="inlineStr">
        <is>
          <t>Gris — descartado, se guarda por si se necesita.</t>
        </is>
      </c>
      <c r="B17" s="116" t="n"/>
      <c r="C17" s="116" t="n"/>
      <c r="D17" s="116" t="n"/>
      <c r="E17" s="117" t="n"/>
    </row>
  </sheetData>
  <mergeCells count="6">
    <mergeCell ref="A16:E16"/>
    <mergeCell ref="A15:E15"/>
    <mergeCell ref="A1:E1"/>
    <mergeCell ref="A13:E13"/>
    <mergeCell ref="A14:E14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2026-09-03T13:56:05Z</dcterms:created>
  <dcterms:modified xsi:type="dcterms:W3CDTF">2026-09-03T13:56:05Z</dcterms:modified>
</cp:coreProperties>
</file>