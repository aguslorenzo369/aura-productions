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ORROS" sheetId="1" state="visible" r:id="rId1"/>
    <sheet name="COTIZACIONES TÉCNICA" sheetId="2" state="visible" r:id="rId2"/>
    <sheet name="INFRAESTRUC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US$&quot;#,##0.00;(&quot;US$&quot;#,##0.00);-"/>
    <numFmt numFmtId="165" formatCode="0.0%"/>
    <numFmt numFmtId="166" formatCode="&quot;$&quot;#,##0;(&quot;$&quot;#,##0);-"/>
    <numFmt numFmtId="167" formatCode="&quot;US$&quot;#,##0;(&quot;US$&quot;#,##0);-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color rgb="00008000"/>
      <sz val="10"/>
    </font>
    <font>
      <name val="Arial"/>
      <b val="1"/>
      <sz val="11"/>
    </font>
    <font>
      <name val="Arial"/>
      <b val="1"/>
      <color rgb="001F3864"/>
      <sz val="11"/>
    </font>
    <font>
      <name val="Arial"/>
      <b val="1"/>
      <color rgb="001F3864"/>
      <sz val="9"/>
    </font>
    <font>
      <name val="Arial"/>
      <b val="1"/>
      <color rgb="00C00000"/>
      <sz val="11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164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7" fillId="5" borderId="1" applyAlignment="1" pivotButton="0" quotePrefix="0" xfId="0">
      <alignment vertical="top" wrapText="1"/>
    </xf>
    <xf numFmtId="165" fontId="7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7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6" fontId="7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8" fillId="0" borderId="0" pivotButton="0" quotePrefix="0" xfId="0"/>
    <xf numFmtId="167" fontId="8" fillId="3" borderId="1" pivotButton="0" quotePrefix="0" xfId="0"/>
    <xf numFmtId="4" fontId="7" fillId="6" borderId="0" pivotButton="0" quotePrefix="0" xfId="0"/>
    <xf numFmtId="0" fontId="9" fillId="0" borderId="0" pivotButton="0" quotePrefix="0" xfId="0"/>
    <xf numFmtId="167" fontId="10" fillId="0" borderId="1" pivotButton="0" quotePrefix="0" xfId="0"/>
    <xf numFmtId="167" fontId="10" fillId="7" borderId="1" pivotButton="0" quotePrefix="0" xfId="0"/>
    <xf numFmtId="0" fontId="5" fillId="2" borderId="1" pivotButton="0" quotePrefix="0" xfId="0"/>
    <xf numFmtId="0" fontId="4" fillId="0" borderId="1" pivotButton="0" quotePrefix="0" xfId="0"/>
    <xf numFmtId="3" fontId="7" fillId="6" borderId="1" pivotButton="0" quotePrefix="0" xfId="0"/>
    <xf numFmtId="164" fontId="4" fillId="0" borderId="1" pivotButton="0" quotePrefix="0" xfId="0"/>
    <xf numFmtId="167" fontId="10" fillId="3" borderId="1" pivotButton="0" quotePrefix="0" xfId="0"/>
    <xf numFmtId="167" fontId="10" fillId="5" borderId="1" pivotButton="0" quotePrefix="0" xfId="0"/>
    <xf numFmtId="167" fontId="2" fillId="0" borderId="0" pivotButton="0" quotePrefix="0" xfId="0"/>
    <xf numFmtId="164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6" fontId="7" fillId="7" borderId="1" applyAlignment="1" pivotButton="0" quotePrefix="0" xfId="0">
      <alignment vertical="top" wrapText="1"/>
    </xf>
    <xf numFmtId="165" fontId="7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4" fontId="7" fillId="7" borderId="1" applyAlignment="1" pivotButton="0" quotePrefix="0" xfId="0">
      <alignment vertical="top" wrapText="1"/>
    </xf>
    <xf numFmtId="164" fontId="3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11" fillId="0" borderId="0" pivotButton="0" quotePrefix="0" xfId="0"/>
    <xf numFmtId="164" fontId="11" fillId="3" borderId="1" pivotButton="0" quotePrefix="0" xfId="0"/>
    <xf numFmtId="0" fontId="12" fillId="0" borderId="0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4" borderId="1" pivotButton="0" quotePrefix="0" xfId="0"/>
    <xf numFmtId="0" fontId="13" fillId="8" borderId="0" pivotButton="0" quotePrefix="0" xfId="0"/>
    <xf numFmtId="0" fontId="0" fillId="8" borderId="0" pivotButton="0" quotePrefix="0" xfId="0"/>
    <xf numFmtId="0" fontId="3" fillId="0" borderId="1" pivotButton="0" quotePrefix="0" xfId="0"/>
    <xf numFmtId="164" fontId="7" fillId="0" borderId="1" pivotButton="0" quotePrefix="0" xfId="0"/>
    <xf numFmtId="164" fontId="3" fillId="3" borderId="1" pivotButton="0" quotePrefix="0" xfId="0"/>
    <xf numFmtId="165" fontId="4" fillId="0" borderId="1" pivotButton="0" quotePrefix="0" xfId="0"/>
    <xf numFmtId="0" fontId="2" fillId="4" borderId="1" pivotButton="0" quotePrefix="0" xfId="0"/>
    <xf numFmtId="164" fontId="7" fillId="4" borderId="1" pivotButton="0" quotePrefix="0" xfId="0"/>
    <xf numFmtId="0" fontId="0" fillId="0" borderId="1" pivotButton="0" quotePrefix="0" xfId="0"/>
    <xf numFmtId="165" fontId="3" fillId="4" borderId="1" pivotButton="0" quotePrefix="0" xfId="0"/>
    <xf numFmtId="165" fontId="11" fillId="3" borderId="1" pivotButton="0" quotePrefix="0" xfId="0"/>
    <xf numFmtId="0" fontId="14" fillId="0" borderId="0" pivotButton="0" quotePrefix="0" xfId="0"/>
    <xf numFmtId="0" fontId="2" fillId="3" borderId="1" pivotButton="0" quotePrefix="0" xfId="0"/>
    <xf numFmtId="0" fontId="7" fillId="3" borderId="1" pivotButton="0" quotePrefix="0" xfId="0"/>
    <xf numFmtId="0" fontId="2" fillId="7" borderId="1" pivotButton="0" quotePrefix="0" xfId="0"/>
    <xf numFmtId="0" fontId="7" fillId="7" borderId="1" pivotButton="0" quotePrefix="0" xfId="0"/>
    <xf numFmtId="164" fontId="3" fillId="7" borderId="1" pivotButton="0" quotePrefix="0" xfId="0"/>
    <xf numFmtId="0" fontId="3" fillId="7" borderId="1" pivotButton="0" quotePrefix="0" xfId="0"/>
    <xf numFmtId="0" fontId="2" fillId="0" borderId="1" pivotButton="0" quotePrefix="0" xfId="0"/>
    <xf numFmtId="0" fontId="7" fillId="0" borderId="1" pivotButton="0" quotePrefix="0" xfId="0"/>
    <xf numFmtId="164" fontId="3" fillId="0" borderId="1" pivotButton="0" quotePrefix="0" xfId="0"/>
    <xf numFmtId="167" fontId="3" fillId="4" borderId="1" pivotButton="0" quotePrefix="0" xfId="0"/>
    <xf numFmtId="167" fontId="3" fillId="3" borderId="1" pivotButton="0" quotePrefix="0" xfId="0"/>
    <xf numFmtId="167" fontId="3" fillId="5" borderId="1" pivotButton="0" quotePrefix="0" xfId="0"/>
    <xf numFmtId="167" fontId="3" fillId="0" borderId="1" pivotButton="0" quotePrefix="0" xfId="0"/>
    <xf numFmtId="165" fontId="4" fillId="0" borderId="1" applyAlignment="1" pivotButton="0" quotePrefix="0" xfId="0">
      <alignment vertical="top" wrapText="1"/>
    </xf>
    <xf numFmtId="164" fontId="8" fillId="3" borderId="1" pivotButton="0" quotePrefix="0" xfId="0"/>
    <xf numFmtId="167" fontId="4" fillId="5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67" fontId="4" fillId="4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 wrapText="1"/>
    </xf>
    <xf numFmtId="0" fontId="15" fillId="0" borderId="0" pivotButton="0" quotePrefix="0" xfId="0"/>
    <xf numFmtId="166" fontId="7" fillId="0" borderId="1" pivotButton="0" quotePrefix="0" xfId="0"/>
    <xf numFmtId="0" fontId="7" fillId="6" borderId="1" pivotButton="0" quotePrefix="0" xfId="0"/>
    <xf numFmtId="166" fontId="4" fillId="0" borderId="1" pivotButton="0" quotePrefix="0" xfId="0"/>
    <xf numFmtId="166" fontId="3" fillId="4" borderId="1" pivotButton="0" quotePrefix="0" xfId="0"/>
    <xf numFmtId="166" fontId="3" fillId="3" borderId="1" pivotButton="0" quotePrefix="0" xfId="0"/>
    <xf numFmtId="166" fontId="3" fillId="5" borderId="1" pivotButton="0" quotePrefix="0" xfId="0"/>
    <xf numFmtId="16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5" customWidth="1" min="3" max="3"/>
    <col width="12" customWidth="1" min="4" max="4"/>
    <col width="44" customWidth="1" min="5" max="5"/>
    <col width="15" customWidth="1" min="6" max="6"/>
    <col width="12" customWidth="1" min="7" max="7"/>
    <col width="13" customWidth="1" min="8" max="8"/>
    <col width="10" customWidth="1" min="9" max="9"/>
    <col width="60" customWidth="1" min="10" max="10"/>
  </cols>
  <sheetData>
    <row r="1">
      <c r="A1" s="1" t="inlineStr">
        <is>
          <t>Lo cotizado contra lo que se cerró</t>
        </is>
      </c>
    </row>
    <row r="2">
      <c r="A2" s="2" t="inlineStr">
        <is>
          <t>Cuánto se bajó rubro por rubro. La columna "Respaldo" dice si la referencia está documentada en el correo o si es un dato aportado.</t>
        </is>
      </c>
    </row>
    <row r="3"/>
    <row r="4">
      <c r="A4" s="6" t="inlineStr">
        <is>
          <t>Rubro</t>
        </is>
      </c>
      <c r="B4" s="6" t="inlineStr">
        <is>
          <t>Referencia cotizada</t>
        </is>
      </c>
      <c r="C4" s="6" t="inlineStr">
        <is>
          <t>Ref. en pesos</t>
        </is>
      </c>
      <c r="D4" s="6" t="inlineStr">
        <is>
          <t>Ref. USD</t>
        </is>
      </c>
      <c r="E4" s="6" t="inlineStr">
        <is>
          <t>Lo que se cerró</t>
        </is>
      </c>
      <c r="F4" s="6" t="inlineStr">
        <is>
          <t>Cerrado en pesos</t>
        </is>
      </c>
      <c r="G4" s="6" t="inlineStr">
        <is>
          <t>Cerrado USD</t>
        </is>
      </c>
      <c r="H4" s="6" t="inlineStr">
        <is>
          <t>Ahorro USD</t>
        </is>
      </c>
      <c r="I4" s="6" t="inlineStr">
        <is>
          <t>Ahorro %</t>
        </is>
      </c>
      <c r="J4" s="6" t="inlineStr">
        <is>
          <t>Respaldo</t>
        </is>
      </c>
    </row>
    <row r="5" ht="46" customHeight="1">
      <c r="A5" s="20" t="inlineStr">
        <is>
          <t>Infraestructura — armado de stands</t>
        </is>
      </c>
      <c r="B5" s="22" t="inlineStr">
        <is>
          <t>La Rural: panelería + dirección técnica + guardias</t>
        </is>
      </c>
      <c r="C5" s="23" t="n">
        <v>16858366.2</v>
      </c>
      <c r="D5" s="27">
        <f>C5/1510</f>
        <v/>
      </c>
      <c r="E5" s="22" t="inlineStr">
        <is>
          <t>Armado del stand de staff, el de producción y el camarín</t>
        </is>
      </c>
      <c r="F5" s="23" t="n"/>
      <c r="G5" s="28" t="n">
        <v>9270</v>
      </c>
      <c r="H5" s="76">
        <f>D5-G5</f>
        <v/>
      </c>
      <c r="I5" s="112">
        <f>IFERROR(H5/D5,"")</f>
        <v/>
      </c>
      <c r="J5" s="29" t="inlineStr">
        <is>
          <t>Presupuesto de La Rural del 17/08 (mail criccio@larural.com.ar): panelería $9.938.187 más generales $6.920.179. Cerrado por Agustina en US$9.270.</t>
        </is>
      </c>
    </row>
    <row r="6" ht="46" customHeight="1">
      <c r="A6" s="20" t="inlineStr">
        <is>
          <t>Mobiliario — sillas y montaje</t>
        </is>
      </c>
      <c r="B6" s="22" t="inlineStr">
        <is>
          <t>La Rural: 5.000 sillas imperio bordó, armado incluido</t>
        </is>
      </c>
      <c r="C6" s="23" t="n"/>
      <c r="D6" s="28" t="n">
        <v>28431</v>
      </c>
      <c r="E6" s="22" t="inlineStr">
        <is>
          <t>FDL Eventos: 5.500 sillas + flete, más el montaje, la acomodación y el desmontaje</t>
        </is>
      </c>
      <c r="F6" s="23" t="n"/>
      <c r="G6" s="28" t="n">
        <v>17450</v>
      </c>
      <c r="H6" s="76">
        <f>D6-G6</f>
        <v/>
      </c>
      <c r="I6" s="112">
        <f>IFERROR(H6/D6,"")</f>
        <v/>
      </c>
      <c r="J6" s="29" t="inlineStr">
        <is>
          <t>Cifras de Agustina, sin IVA. Reemplaza la fila que estaba aparte como "sillas": es la misma negociación, estaba contada dos veces. Verificado: 17.450 al dólar de referencia son $26.698.500, que es el presupuesto FDL 026-2697 ($25.800.000) más los $900.000 del montaje. Agustina tiene los presupuestos anteriores para adjuntar.</t>
        </is>
      </c>
    </row>
    <row r="7" ht="46" customHeight="1">
      <c r="A7" s="20" t="inlineStr">
        <is>
          <t>Entelado</t>
        </is>
      </c>
      <c r="B7" s="22" t="inlineStr">
        <is>
          <t>Primer presupuesto recibido</t>
        </is>
      </c>
      <c r="C7" s="23" t="n"/>
      <c r="D7" s="28" t="n">
        <v>25490</v>
      </c>
      <c r="E7" s="22" t="inlineStr">
        <is>
          <t>Negociado por Agustina</t>
        </is>
      </c>
      <c r="F7" s="23" t="n"/>
      <c r="G7" s="28" t="n">
        <v>16500</v>
      </c>
      <c r="H7" s="76">
        <f>D7-G7</f>
        <v/>
      </c>
      <c r="I7" s="112">
        <f>IFERROR(H7/D7,"")</f>
        <v/>
      </c>
      <c r="J7" s="29" t="inlineStr">
        <is>
          <t>Cifras de Agustina, sin IVA. Verificado: 25.490 al dólar de referencia son $39.000.000 exactos, que es la primera cotización. Agustina tiene el presupuesto anterior para adjuntar.</t>
        </is>
      </c>
    </row>
    <row r="8" ht="46" customHeight="1">
      <c r="A8" s="20" t="inlineStr">
        <is>
          <t>Catering</t>
        </is>
      </c>
      <c r="B8" s="22" t="inlineStr">
        <is>
          <t>Primera propuesta de Grupo Ambient</t>
        </is>
      </c>
      <c r="C8" s="23" t="n">
        <v>30000000</v>
      </c>
      <c r="D8" s="27">
        <f>C8/1510</f>
        <v/>
      </c>
      <c r="E8" s="22" t="inlineStr">
        <is>
          <t>600 lunchbox VIP + desayuno, almuerzo y cena para 150 personas</t>
        </is>
      </c>
      <c r="F8" s="23" t="n"/>
      <c r="G8" s="28" t="n">
        <v>14569</v>
      </c>
      <c r="H8" s="76">
        <f>D8-G8</f>
        <v/>
      </c>
      <c r="I8" s="112">
        <f>IFERROR(H8/D8,"")</f>
        <v/>
      </c>
      <c r="J8" s="29" t="inlineStr">
        <is>
          <t>Cierre informado por Agustina. En el correo está la propuesta de AmbientHouse del 16/06 a $28.500 + IVA por persona por día con base mínima de 480.</t>
        </is>
      </c>
    </row>
    <row r="9" ht="46" customHeight="1">
      <c r="A9" s="20" t="inlineStr">
        <is>
          <t>Merch e impresos</t>
        </is>
      </c>
      <c r="B9" s="22" t="inlineStr">
        <is>
          <t>Proveedor de Cumbre, precios unitarios al 06/07</t>
        </is>
      </c>
      <c r="C9" s="23" t="n"/>
      <c r="D9" s="28" t="n">
        <v>16261.12</v>
      </c>
      <c r="E9" s="22" t="inlineStr">
        <is>
          <t>Proveedores argentinos conseguidos por Agustina</t>
        </is>
      </c>
      <c r="F9" s="23" t="n"/>
      <c r="G9" s="28" t="n">
        <v>5067.97</v>
      </c>
      <c r="H9" s="76">
        <f>D9-G9</f>
        <v/>
      </c>
      <c r="I9" s="112">
        <f>IFERROR(H9/D9,"")</f>
        <v/>
      </c>
      <c r="J9" s="29" t="inlineStr">
        <is>
          <t>Comparativa de merch.cmc2026.com al 06/07/2026 (dólar $1.515). Es una canasta cerrada de siete ítems: remeras, gorras, lanyards, credenciales, hojas A4, tarjetas y bolsas de friselina. Las pulseras tyvek quedan fuera de los dos lados porque no hay precio comparable. NO es el total del rubro merch: los pañuelos y el bordado de gorras no entran en esta comparación.</t>
        </is>
      </c>
    </row>
    <row r="10" ht="46" customHeight="1">
      <c r="A10" s="20" t="inlineStr">
        <is>
          <t>Vallado del público</t>
        </is>
      </c>
      <c r="B10" s="22" t="inlineStr">
        <is>
          <t>Presupuestado en la hoja de Argentina</t>
        </is>
      </c>
      <c r="C10" s="23" t="n"/>
      <c r="D10" s="28" t="n">
        <v>1250</v>
      </c>
      <c r="E10" s="22" t="inlineStr">
        <is>
          <t>500 vallas bonificadas por el proveedor de técnica</t>
        </is>
      </c>
      <c r="F10" s="23" t="n"/>
      <c r="G10" s="28" t="n">
        <v>0</v>
      </c>
      <c r="H10" s="76">
        <f>D10-G10</f>
        <v/>
      </c>
      <c r="I10" s="112">
        <f>IFERROR(H10/D10,"")</f>
        <v/>
      </c>
      <c r="J10" s="29" t="inlineStr">
        <is>
          <t>Negociación de Agustina. Además bonifican los efectos especiales, que no estaban valorizados.</t>
        </is>
      </c>
    </row>
    <row r="11">
      <c r="A11" s="52" t="inlineStr">
        <is>
          <t>AHORRO TOTAL</t>
        </is>
      </c>
      <c r="D11" s="113">
        <f>SUM(D5:D10)</f>
        <v/>
      </c>
      <c r="G11" s="113">
        <f>SUM(G5:G10)</f>
        <v/>
      </c>
      <c r="H11" s="113">
        <f>SUM(H5:H10)</f>
        <v/>
      </c>
    </row>
    <row r="12"/>
    <row r="13">
      <c r="A13" s="98" t="inlineStr">
        <is>
          <t>TÉCNICA — la comparación no es directa</t>
        </is>
      </c>
    </row>
    <row r="14">
      <c r="A14" s="2" t="inlineStr">
        <is>
          <t>Se pidió cotización de técnica a NUEVE empresas el 13 y 14 de junio. Respondieron seis con número. El detalle completo está en la hoja COTIZACIONES TÉCNICA.</t>
        </is>
      </c>
    </row>
    <row r="15">
      <c r="A15" s="2" t="inlineStr"/>
    </row>
    <row r="16">
      <c r="A16" s="2" t="inlineStr">
        <is>
          <t xml:space="preserve">   · Sound-Light (16/06): el PDF no se pudo abrir, el mail pesa 33 MB. El mail del 19/06 les dice que las otras estaban "prácticamente la mitad", lo que lo ubica por encima de los $100.000.000.</t>
        </is>
      </c>
    </row>
    <row r="17">
      <c r="A17" s="2" t="inlineStr">
        <is>
          <t xml:space="preserve">   · Bonetto (17/06): $94.936.000 — sonido e iluminación $69.736.000, LED $20.720.000, CCTV $4.480.000. Grúas y efectos aparte (la chispa fría la cobra POR MINUTO).</t>
        </is>
      </c>
    </row>
    <row r="18">
      <c r="A18" s="2" t="inlineStr">
        <is>
          <t xml:space="preserve">   · Prina (18/06): $48.885.000 + IVA = $59.150.850. Pero cotiza 40 m² de LED cuando el rider pide 65, y deja afuera grúas y energía. Vencida.</t>
        </is>
      </c>
    </row>
    <row r="19">
      <c r="A19" s="2" t="inlineStr">
        <is>
          <t xml:space="preserve">   · 2MG (24/06): $45.000.000 con descuento + IVA = $54.450.000, más $19.202.700 de adicionales. Sonido más liviano, cotizado para "2000 / 5000 pax".</t>
        </is>
      </c>
    </row>
    <row r="20">
      <c r="A20" s="2" t="inlineStr">
        <is>
          <t xml:space="preserve">   · Dixi Group (26/06): $82.000.000 + IVA = $99.220.000 llave en mano, con rigging completo, encomiendas y 4 máquinas de chispa fría.</t>
        </is>
      </c>
    </row>
    <row r="21">
      <c r="A21" s="2" t="inlineStr">
        <is>
          <t xml:space="preserve">   · VMG (29/06): $15.276.250 con IVA, sólo las pantallas LED de 65 m².</t>
        </is>
      </c>
    </row>
    <row r="22">
      <c r="A22" s="2" t="inlineStr"/>
    </row>
    <row r="23">
      <c r="A23" s="2" t="inlineStr">
        <is>
          <t>POR QUÉ TÉCNICA NO ENTRA EN LA TABLA DE ARRIBA: Grupo MET cerró en US$60.000 ($90.600.000) y con el circuito cerrado el paquete queda cerca de $100.000.000.</t>
        </is>
      </c>
    </row>
    <row r="24">
      <c r="A24" s="2" t="inlineStr">
        <is>
          <t>Eso es prácticamente lo mismo que Dixi llave en mano y menos que Bonetto, pero está POR ENCIMA de 2MG y de Prina. Poner esa diferencia como ahorro no se sostendría</t>
        </is>
      </c>
    </row>
    <row r="25">
      <c r="A25" s="2" t="inlineStr">
        <is>
          <t>delante del CEO, porque los alcances no son iguales: Prina cotizó 38% menos de LED, 2MG un sonido más chico, y Grupo MET incluye lo que se agregó tras la visita al predio.</t>
        </is>
      </c>
    </row>
    <row r="26">
      <c r="A26" s="2" t="inlineStr"/>
    </row>
    <row r="27">
      <c r="A27" s="2" t="inlineStr">
        <is>
          <t>LO QUE SÍ SE SOSTIENE EN TÉCNICA: las 500 vallas y los efectos especiales van bonificados. Bonetto los cobra: $300.000 la máquina de humo y $600.000 POR MINUTO las dos de chispa fría.</t>
        </is>
      </c>
    </row>
    <row r="28">
      <c r="A28" s="2" t="inlineStr">
        <is>
          <t>Con los 6 disparos por día que pide el rider, en cualquiera de las otras propuestas eso es plata.</t>
        </is>
      </c>
    </row>
    <row r="29">
      <c r="A29" s="2" t="inlineStr"/>
    </row>
    <row r="30">
      <c r="A30" s="2" t="inlineStr">
        <is>
          <t>FALTA UNA SOLA COSA para cerrar el ahorro de técnica con un número: el PDF de Grupo MET con el alcance final. Es el único de los siete proveedores sin presupuesto escrito en el correo.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16" customWidth="1" min="4" max="4"/>
    <col width="16" customWidth="1" min="5" max="5"/>
    <col width="15" customWidth="1" min="6" max="6"/>
    <col width="62" customWidth="1" min="7" max="7"/>
    <col width="44" customWidth="1" min="8" max="8"/>
    <col width="70" customWidth="1" min="9" max="9"/>
  </cols>
  <sheetData>
    <row r="1">
      <c r="A1" s="1" t="inlineStr">
        <is>
          <t>Las siete propuestas de técnica que llegaron</t>
        </is>
      </c>
    </row>
    <row r="2">
      <c r="A2" s="2" t="inlineStr">
        <is>
          <t>Se pidió cotización a nueve empresas entre el 13 y el 14 de junio. Respondieron seis con número; Black-Out y 4A Latam nunca contestaron y una dirección rebotó.</t>
        </is>
      </c>
    </row>
    <row r="3"/>
    <row r="4">
      <c r="A4" s="6" t="inlineStr">
        <is>
          <t>Proveedor</t>
        </is>
      </c>
      <c r="B4" s="6" t="inlineStr">
        <is>
          <t>Fecha</t>
        </is>
      </c>
      <c r="C4" s="6" t="inlineStr">
        <is>
          <t>Contacto</t>
        </is>
      </c>
      <c r="D4" s="6" t="inlineStr">
        <is>
          <t>Sin IVA</t>
        </is>
      </c>
      <c r="E4" s="6" t="inlineStr">
        <is>
          <t>Con IVA 21%</t>
        </is>
      </c>
      <c r="F4" s="6" t="inlineStr">
        <is>
          <t>USD al dólar de trabajo</t>
        </is>
      </c>
      <c r="G4" s="6" t="inlineStr">
        <is>
          <t>Qué incluye</t>
        </is>
      </c>
      <c r="H4" s="6" t="inlineStr">
        <is>
          <t>Qué queda aparte</t>
        </is>
      </c>
      <c r="I4" s="6" t="inlineStr">
        <is>
          <t>Observaciones</t>
        </is>
      </c>
    </row>
    <row r="5" ht="86" customHeight="1">
      <c r="A5" s="30" t="inlineStr">
        <is>
          <t>Sound-Light</t>
        </is>
      </c>
      <c r="B5" s="31" t="inlineStr">
        <is>
          <t>16/06/2026</t>
        </is>
      </c>
      <c r="C5" s="39" t="inlineStr">
        <is>
          <t>ventas@sound-light.com.ar (Noelia Escudero)</t>
        </is>
      </c>
      <c r="D5" s="33" t="n"/>
      <c r="E5" s="35" t="n"/>
      <c r="F5" s="114">
        <f>IF(E5="","",E5/1510)</f>
        <v/>
      </c>
      <c r="G5" s="32" t="inlineStr">
        <is>
          <t>Técnica integral sobre el pliego base.</t>
        </is>
      </c>
      <c r="H5" s="32" t="inlineStr">
        <is>
          <t>Sin detalle: no se pudo abrir el adjunto.</t>
        </is>
      </c>
      <c r="I5" s="39" t="inlineStr">
        <is>
          <t>El mail pesa 33 MB y el PDF no se puede extraer desde acá. Lo que sí está documentado es el mail del 19/06 en el que Agustina les dice que las otras cotizaciones estaban "prácticamente la mitad de lo cotizado por ustedes". Sobre las de esa fecha (Bonetto y Prina) eso lo ubica por encima de los $100.000.000.</t>
        </is>
      </c>
    </row>
    <row r="6" ht="86" customHeight="1">
      <c r="A6" s="20" t="inlineStr">
        <is>
          <t>Bonetto Sonido e Iluminación</t>
        </is>
      </c>
      <c r="B6" s="21" t="inlineStr">
        <is>
          <t>17/06/2026</t>
        </is>
      </c>
      <c r="C6" s="29" t="inlineStr">
        <is>
          <t>cristian@bonetto.net</t>
        </is>
      </c>
      <c r="D6" s="23" t="n">
        <v>94936000</v>
      </c>
      <c r="E6" s="25">
        <f>D6*1.21</f>
        <v/>
      </c>
      <c r="F6" s="115">
        <f>IF(E6="","",E6/1510)</f>
        <v/>
      </c>
      <c r="G6" s="22" t="inlineStr">
        <is>
          <t>Sonido e iluminación $69.736.000 · pantallas LED $20.720.000 · CCTV $4.480.000. 16 L-Acoustics Kiva II, 240 LED ST18-15, 322 truss box, consola Yamaha QL5.</t>
        </is>
      </c>
      <c r="H6" s="22" t="inlineStr">
        <is>
          <t>Grúas (2 autoelevadores tijera x 3 días) $4.480.000 · máquina de humo $300.000 · 2 máquinas de chispa fría $600.000 POR MINUTO · minuto adicional $150.000.</t>
        </is>
      </c>
      <c r="I6" s="29" t="inlineStr">
        <is>
          <t>Presupuesto PR26-287 V.1. El PDF viene con el texto vectorizado: hubo que renderizarlo a imagen para leerlo. No aclara si los valores llevan IVA. Dice expresamente "NO CONTEMPLA RIDER DE BANDA".</t>
        </is>
      </c>
    </row>
    <row r="7" ht="86" customHeight="1">
      <c r="A7" s="20" t="inlineStr">
        <is>
          <t>Prina</t>
        </is>
      </c>
      <c r="B7" s="21" t="inlineStr">
        <is>
          <t>18/06/2026</t>
        </is>
      </c>
      <c r="C7" s="29" t="inlineStr">
        <is>
          <t>valentin.andina@prina.net</t>
        </is>
      </c>
      <c r="D7" s="23" t="n">
        <v>48885000</v>
      </c>
      <c r="E7" s="23" t="n">
        <v>59150850</v>
      </c>
      <c r="F7" s="115">
        <f>IF(E7="","",E7/1510)</f>
        <v/>
      </c>
      <c r="G7" s="22" t="inlineStr">
        <is>
          <t>LED 40 m² $6.700.000 · CCTV 2 cámaras $4.510.000 · sonido (16 Adamson Y10) $10.465.000 · iluminación $12.490.000 · RRHH y logística $14.720.000.</t>
        </is>
      </c>
      <c r="H7" s="22" t="inlineStr">
        <is>
          <t>Incluye 2 máquinas Sparkular y máquina de humo.</t>
        </is>
      </c>
      <c r="I7" s="29" t="inlineStr">
        <is>
          <t>OJO CON EL ALCANCE: cotiza 40 m² de LED (6×4 + 2 de 2×4) cuando el rider pide 65 m² (7×5 + 2 de 3×5). No incluye grúas, brazos articulados ni tijeras, ni la generación de energía. Validez de 10 días: vencida desde el 28/06.</t>
        </is>
      </c>
    </row>
    <row r="8" ht="86" customHeight="1">
      <c r="A8" s="20" t="inlineStr">
        <is>
          <t>2MG</t>
        </is>
      </c>
      <c r="B8" s="21" t="inlineStr">
        <is>
          <t>24/06/2026</t>
        </is>
      </c>
      <c r="C8" s="29" t="inlineStr">
        <is>
          <t>rocio.g@2mg.net</t>
        </is>
      </c>
      <c r="D8" s="23" t="n">
        <v>45000000</v>
      </c>
      <c r="E8" s="23" t="n">
        <v>54450000</v>
      </c>
      <c r="F8" s="115">
        <f>IF(E8="","",E8/1510)</f>
        <v/>
      </c>
      <c r="G8" s="22" t="inlineStr">
        <is>
          <t>Sonido, video (LED 65 m², medida correcta), iluminación, CCTV, efectos especiales, RRHH y logística. Total de lista $53.655.470, con descuento especial $45.000.000.</t>
        </is>
      </c>
      <c r="H8" s="22" t="inlineStr">
        <is>
          <t>Extras de iluminación $10.177.500 · escenario 13×3 m con pasarela $5.692.500. Los dos juntos suman $15.870.000 sin IVA.</t>
        </is>
      </c>
      <c r="I8" s="29" t="inlineStr">
        <is>
          <t>Incluye certificación de planos por escribano, eléctrico matriculado y autoelevadora, hasta 8 puntos de colgado. El sonido es más liviano que el de los otros (12 gabinetes DVA T8) y el presupuesto dice "2000 / 5000 pax". Validez 15 días.</t>
        </is>
      </c>
    </row>
    <row r="9" ht="86" customHeight="1">
      <c r="A9" s="20" t="inlineStr">
        <is>
          <t>Dixi Group</t>
        </is>
      </c>
      <c r="B9" s="21" t="inlineStr">
        <is>
          <t>26/06/2026</t>
        </is>
      </c>
      <c r="C9" s="29" t="inlineStr">
        <is>
          <t>g.judcovski@dixieventos.com.ar</t>
        </is>
      </c>
      <c r="D9" s="23" t="n">
        <v>82000000</v>
      </c>
      <c r="E9" s="23" t="n">
        <v>99220000</v>
      </c>
      <c r="F9" s="115">
        <f>IF(E9="","",E9/1510)</f>
        <v/>
      </c>
      <c r="G9" s="22" t="inlineStr">
        <is>
          <t>Llave en mano: sonido, iluminación (90 par LED, 6 beam, 8 wash), video (LED 65 m²), CCTV y rigging completo (6 puentes de 12 m, 14 aparejos de 1 T, motores).</t>
        </is>
      </c>
      <c r="H9" s="22" t="inlineStr">
        <is>
          <t>Nada: es llave en mano.</t>
        </is>
      </c>
      <c r="I9" s="29" t="inlineStr">
        <is>
          <t>Es el alcance más completo de todos. Incluye 4 máquinas de chispa fría con 8 disparos por día, plano general con puntos de colgado firmado por arquitecto, encomienda eléctrica de profesional matriculado y productores generales de técnica.</t>
        </is>
      </c>
    </row>
    <row r="10" ht="86" customHeight="1">
      <c r="A10" s="42" t="inlineStr">
        <is>
          <t>VMG Visual Solutions</t>
        </is>
      </c>
      <c r="B10" s="43" t="inlineStr">
        <is>
          <t>29/06/2026</t>
        </is>
      </c>
      <c r="C10" s="49" t="inlineStr">
        <is>
          <t>presupuestos@vmg-web.com</t>
        </is>
      </c>
      <c r="D10" s="50" t="n">
        <v>12625000</v>
      </c>
      <c r="E10" s="50" t="n">
        <v>15276250</v>
      </c>
      <c r="F10" s="116">
        <f>IF(E10="","",E10/1510)</f>
        <v/>
      </c>
      <c r="G10" s="44" t="inlineStr">
        <is>
          <t>Sólo pantallas LED: 65 m² (7×5 central + 2 de 3×5), pitch 2.6 indoor blackface, con control, servidor y operador.</t>
        </is>
      </c>
      <c r="H10" s="44" t="inlineStr">
        <is>
          <t>Todo lo demás.</t>
        </is>
      </c>
      <c r="I10" s="49" t="inlineStr">
        <is>
          <t>NO ES COMPARABLE con las otras: es únicamente video. Sirve para poner precio al renglón de LED. No incluye estructuras de colgado, rigging, tarimas, entelados ni autoelevadores. Recotiza si el dólar salta más de 15%.</t>
        </is>
      </c>
    </row>
    <row r="11" ht="86" customHeight="1">
      <c r="A11" s="9" t="inlineStr">
        <is>
          <t>Grupo MET — ES EL QUE SE CONTRATÓ</t>
        </is>
      </c>
      <c r="B11" s="10" t="inlineStr">
        <is>
          <t>sin PDF</t>
        </is>
      </c>
      <c r="C11" s="16" t="inlineStr">
        <is>
          <t>lalo@somosgrupomet.com</t>
        </is>
      </c>
      <c r="D11" s="40" t="n"/>
      <c r="E11" s="40" t="n">
        <v>90600000</v>
      </c>
      <c r="F11" s="117">
        <f>IF(E11="","",E11/1510)</f>
        <v/>
      </c>
      <c r="G11" s="11" t="inlineStr">
        <is>
          <t>Sonido, iluminación, video y LED por US$60.000. Aparte: entelado $24.500.000 y circuito cerrado US$6.209.</t>
        </is>
      </c>
      <c r="H11" s="11" t="inlineStr">
        <is>
          <t>Bonifica 500 vallas y los efectos especiales, que en las otras cotizaciones se pagan.</t>
        </is>
      </c>
      <c r="I11" s="16" t="inlineStr">
        <is>
          <t>ES EL ÚNICO DE LOS SIETE SIN PRESUPUESTO ESCRITO EN EL CORREO. Se revisó todo el Gmail: en el hilo con Lalo Aizenberg hay ocho idas y vueltas entre el 16 y el 30 de junio y una visita al predio el 30/06, pero nunca llegó un PDF. Lo único que hay es la factura INV-11 de Mercury por US$5.000, pagada el 31/07.</t>
        </is>
      </c>
    </row>
    <row r="12"/>
    <row r="13">
      <c r="A13" s="98" t="inlineStr">
        <is>
          <t>CÓMO LEER ESTA TABLA — Y POR QUÉ NO SE PUEDE RESTAR SIN MÁS</t>
        </is>
      </c>
    </row>
    <row r="14">
      <c r="A14" s="2" t="inlineStr">
        <is>
          <t>Los siete números NO cotizan lo mismo, así que la diferencia contra Grupo MET no es un ahorro hasta que se iguale el alcance:</t>
        </is>
      </c>
    </row>
    <row r="15">
      <c r="A15" s="2" t="inlineStr">
        <is>
          <t xml:space="preserve">   · Grupo MET cerró en US$60.000 (unos $90.600.000) por sonido, iluminación, video y LED, con todo lo que se fue agregando después de la visita al predio del 30 de junio.</t>
        </is>
      </c>
    </row>
    <row r="16">
      <c r="A16" s="2" t="inlineStr">
        <is>
          <t xml:space="preserve">   · Sumándole el circuito cerrado (US$6.209) el paquete de técnica queda cerca de los $100.000.000, que es prácticamente lo mismo que cotizó Dixi llave en mano ($99.220.000) y por debajo de Bonetto ($114.872.560 más grúas y efectos).</t>
        </is>
      </c>
    </row>
    <row r="17">
      <c r="A17" s="2" t="inlineStr">
        <is>
          <t xml:space="preserve">   · En cambio queda POR ENCIMA de 2MG con descuento ($54.450.000 más $19.202.700 de adicionales = $73.652.700) y de Prina ($59.150.850).</t>
        </is>
      </c>
    </row>
    <row r="18">
      <c r="A18" s="2" t="inlineStr">
        <is>
          <t xml:space="preserve">   · Pero Prina cotizó 40 m² de LED cuando el rider pide 65, y dejó afuera las grúas y la energía; y 2MG cotizó un sonido más liviano, para "2000 / 5000 pax".</t>
        </is>
      </c>
    </row>
    <row r="19">
      <c r="A19" s="2" t="inlineStr"/>
    </row>
    <row r="20">
      <c r="A20" s="2" t="inlineStr">
        <is>
          <t>Lo que sí está documentado y se sostiene solo:</t>
        </is>
      </c>
    </row>
    <row r="21">
      <c r="A21" s="2" t="inlineStr">
        <is>
          <t xml:space="preserve">   · Sound-Light quedó afuera por precio, y hay un mail del 19/06 pidiéndoles que revisen porque las otras estaban "prácticamente la mitad".</t>
        </is>
      </c>
    </row>
    <row r="22">
      <c r="A22" s="2" t="inlineStr">
        <is>
          <t xml:space="preserve">   · Los efectos especiales y las 500 vallas los bonifica Grupo MET. Bonetto los cobra: $300.000 la máquina de humo y $600.000 POR MINUTO las dos de chispa fría.</t>
        </is>
      </c>
    </row>
    <row r="23">
      <c r="A23" s="2" t="inlineStr">
        <is>
          <t xml:space="preserve">   · Se pidieron nueve cotizaciones y se compararon seis. Ese trabajo está entero en el correo.</t>
        </is>
      </c>
    </row>
    <row r="24">
      <c r="A24" s="2" t="inlineStr"/>
    </row>
    <row r="25">
      <c r="A25" s="118" t="inlineStr">
        <is>
          <t>PARA CERRAR EL AHORRO DE TÉCNICA FALTA UNA SOLA COSA: el PDF de Grupo MET con el alcance final. Con eso se puede comparar contra el mismo alcance en Dixi, Bonetto, 2MG y Prina, y recién ahí poner un número.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8" customWidth="1" min="3" max="3"/>
    <col width="15" customWidth="1" min="4" max="4"/>
    <col width="12" customWidth="1" min="5" max="5"/>
    <col width="12" customWidth="1" min="6" max="6"/>
    <col width="17" customWidth="1" min="7" max="7"/>
    <col width="44" customWidth="1" min="8" max="8"/>
  </cols>
  <sheetData>
    <row r="1">
      <c r="A1" s="1" t="inlineStr">
        <is>
          <t>Presupuesto de infraestructura de La Rural, línea por línea</t>
        </is>
      </c>
    </row>
    <row r="2">
      <c r="A2" s="2" t="inlineStr">
        <is>
          <t>Las 28 líneas del PDF del 17/08. Marcá SÍ o NO en la columna "¿Se queda?" y el subtotal se recalcula.</t>
        </is>
      </c>
    </row>
    <row r="3"/>
    <row r="4">
      <c r="A4" s="6" t="inlineStr">
        <is>
          <t>#</t>
        </is>
      </c>
      <c r="B4" s="6" t="inlineStr">
        <is>
          <t>Bloque</t>
        </is>
      </c>
      <c r="C4" s="6" t="inlineStr">
        <is>
          <t>Ítem</t>
        </is>
      </c>
      <c r="D4" s="6" t="inlineStr">
        <is>
          <t>Precio (ARS)</t>
        </is>
      </c>
      <c r="E4" s="6" t="inlineStr">
        <is>
          <t>USD</t>
        </is>
      </c>
      <c r="F4" s="6" t="inlineStr">
        <is>
          <t>¿Se queda?</t>
        </is>
      </c>
      <c r="G4" s="6" t="inlineStr">
        <is>
          <t>Si se queda (ARS)</t>
        </is>
      </c>
      <c r="H4" s="6" t="inlineStr">
        <is>
          <t>Nota</t>
        </is>
      </c>
    </row>
    <row r="5">
      <c r="A5" s="87" t="inlineStr">
        <is>
          <t xml:space="preserve">  PANELERÍA (montaje de estructuras)</t>
        </is>
      </c>
    </row>
    <row r="6">
      <c r="A6" s="105" t="n">
        <v>1</v>
      </c>
      <c r="B6" s="105" t="inlineStr">
        <is>
          <t>PANELERÍA (montaje de estructuras)</t>
        </is>
      </c>
      <c r="C6" s="106" t="inlineStr">
        <is>
          <t>Oficina de producción — 25 m² (panelería + puerta + iluminación)</t>
        </is>
      </c>
      <c r="D6" s="119" t="n">
        <v>1314575</v>
      </c>
      <c r="E6" s="61">
        <f>D6/1510</f>
        <v/>
      </c>
      <c r="F6" s="120" t="inlineStr">
        <is>
          <t>SÍ</t>
        </is>
      </c>
      <c r="G6" s="121">
        <f>IF(F6="SÍ",D6,0)</f>
        <v/>
      </c>
      <c r="H6" s="105" t="inlineStr"/>
    </row>
    <row r="7">
      <c r="A7" s="105" t="n">
        <v>2</v>
      </c>
      <c r="B7" s="105" t="inlineStr">
        <is>
          <t>PANELERÍA (montaje de estructuras)</t>
        </is>
      </c>
      <c r="C7" s="106" t="inlineStr">
        <is>
          <t>Sala de staff — 100 m² (panelería + puerta + iluminación)</t>
        </is>
      </c>
      <c r="D7" s="119" t="n">
        <v>5258300</v>
      </c>
      <c r="E7" s="61">
        <f>D7/1510</f>
        <v/>
      </c>
      <c r="F7" s="120" t="inlineStr">
        <is>
          <t>SÍ</t>
        </is>
      </c>
      <c r="G7" s="121">
        <f>IF(F7="SÍ",D7,0)</f>
        <v/>
      </c>
      <c r="H7" s="105" t="inlineStr"/>
    </row>
    <row r="8">
      <c r="A8" s="105" t="n">
        <v>3</v>
      </c>
      <c r="B8" s="105" t="inlineStr">
        <is>
          <t>PANELERÍA (montaje de estructuras)</t>
        </is>
      </c>
      <c r="C8" s="106" t="inlineStr">
        <is>
          <t>Depósito 8×8 para las 2.500 barras — 64 m²</t>
        </is>
      </c>
      <c r="D8" s="119" t="n">
        <v>3365312</v>
      </c>
      <c r="E8" s="61">
        <f>D8/1510</f>
        <v/>
      </c>
      <c r="F8" s="120" t="inlineStr">
        <is>
          <t>SÍ</t>
        </is>
      </c>
      <c r="G8" s="121">
        <f>IF(F8="SÍ",D8,0)</f>
        <v/>
      </c>
      <c r="H8" s="105" t="inlineStr">
        <is>
          <t>Depósito para las 2.500 barras de la dinámica.</t>
        </is>
      </c>
    </row>
    <row r="9">
      <c r="A9" s="87" t="inlineStr">
        <is>
          <t xml:space="preserve">  MOBILIARIO · oficina de producción</t>
        </is>
      </c>
    </row>
    <row r="10">
      <c r="A10" s="105" t="n">
        <v>4</v>
      </c>
      <c r="B10" s="105" t="inlineStr">
        <is>
          <t>oficina de producción</t>
        </is>
      </c>
      <c r="C10" s="106" t="inlineStr">
        <is>
          <t>Mesa redonda 1,60 ×2</t>
        </is>
      </c>
      <c r="D10" s="119" t="n">
        <v>236000</v>
      </c>
      <c r="E10" s="61">
        <f>D10/1510</f>
        <v/>
      </c>
      <c r="F10" s="120" t="inlineStr">
        <is>
          <t>NO</t>
        </is>
      </c>
      <c r="G10" s="121">
        <f>IF(F10="SÍ",D10,0)</f>
        <v/>
      </c>
      <c r="H10" s="105" t="inlineStr"/>
    </row>
    <row r="11">
      <c r="A11" s="105" t="n">
        <v>5</v>
      </c>
      <c r="B11" s="105" t="inlineStr">
        <is>
          <t>oficina de producción</t>
        </is>
      </c>
      <c r="C11" s="106" t="inlineStr">
        <is>
          <t>Silla imperio bordó ×10</t>
        </is>
      </c>
      <c r="D11" s="119" t="n">
        <v>85000</v>
      </c>
      <c r="E11" s="61">
        <f>D11/1510</f>
        <v/>
      </c>
      <c r="F11" s="120" t="inlineStr">
        <is>
          <t>NO</t>
        </is>
      </c>
      <c r="G11" s="121">
        <f>IF(F11="SÍ",D11,0)</f>
        <v/>
      </c>
      <c r="H11" s="105" t="inlineStr"/>
    </row>
    <row r="12">
      <c r="A12" s="105" t="n">
        <v>6</v>
      </c>
      <c r="B12" s="105" t="inlineStr">
        <is>
          <t>oficina de producción</t>
        </is>
      </c>
      <c r="C12" s="106" t="inlineStr">
        <is>
          <t>Sillón Valencia 2C ×2</t>
        </is>
      </c>
      <c r="D12" s="119" t="n">
        <v>254000</v>
      </c>
      <c r="E12" s="61">
        <f>D12/1510</f>
        <v/>
      </c>
      <c r="F12" s="120" t="inlineStr">
        <is>
          <t>NO</t>
        </is>
      </c>
      <c r="G12" s="121">
        <f>IF(F12="SÍ",D12,0)</f>
        <v/>
      </c>
      <c r="H12" s="105" t="inlineStr"/>
    </row>
    <row r="13">
      <c r="A13" s="105" t="n">
        <v>7</v>
      </c>
      <c r="B13" s="105" t="inlineStr">
        <is>
          <t>oficina de producción</t>
        </is>
      </c>
      <c r="C13" s="106" t="inlineStr">
        <is>
          <t>Sillón BRNO ×2</t>
        </is>
      </c>
      <c r="D13" s="119" t="n">
        <v>160000</v>
      </c>
      <c r="E13" s="61">
        <f>D13/1510</f>
        <v/>
      </c>
      <c r="F13" s="120" t="inlineStr">
        <is>
          <t>NO</t>
        </is>
      </c>
      <c r="G13" s="121">
        <f>IF(F13="SÍ",D13,0)</f>
        <v/>
      </c>
      <c r="H13" s="105" t="inlineStr"/>
    </row>
    <row r="14">
      <c r="A14" s="105" t="n">
        <v>8</v>
      </c>
      <c r="B14" s="105" t="inlineStr">
        <is>
          <t>oficina de producción</t>
        </is>
      </c>
      <c r="C14" s="106" t="inlineStr">
        <is>
          <t>Mesa ratona ×1</t>
        </is>
      </c>
      <c r="D14" s="119" t="n">
        <v>118000</v>
      </c>
      <c r="E14" s="61">
        <f>D14/1510</f>
        <v/>
      </c>
      <c r="F14" s="120" t="inlineStr">
        <is>
          <t>NO</t>
        </is>
      </c>
      <c r="G14" s="121">
        <f>IF(F14="SÍ",D14,0)</f>
        <v/>
      </c>
      <c r="H14" s="105" t="inlineStr"/>
    </row>
    <row r="15">
      <c r="A15" s="105" t="n">
        <v>9</v>
      </c>
      <c r="B15" s="105" t="inlineStr">
        <is>
          <t>oficina de producción</t>
        </is>
      </c>
      <c r="C15" s="106" t="inlineStr">
        <is>
          <t>Perchero de pie ×1</t>
        </is>
      </c>
      <c r="D15" s="119" t="n">
        <v>40000</v>
      </c>
      <c r="E15" s="61">
        <f>D15/1510</f>
        <v/>
      </c>
      <c r="F15" s="120" t="inlineStr">
        <is>
          <t>NO</t>
        </is>
      </c>
      <c r="G15" s="121">
        <f>IF(F15="SÍ",D15,0)</f>
        <v/>
      </c>
      <c r="H15" s="105" t="inlineStr"/>
    </row>
    <row r="16">
      <c r="A16" s="105" t="n">
        <v>10</v>
      </c>
      <c r="B16" s="105" t="inlineStr">
        <is>
          <t>oficina de producción</t>
        </is>
      </c>
      <c r="C16" s="106" t="inlineStr">
        <is>
          <t>Tacho de basura grande ×1</t>
        </is>
      </c>
      <c r="D16" s="119" t="n">
        <v>56300</v>
      </c>
      <c r="E16" s="61">
        <f>D16/1510</f>
        <v/>
      </c>
      <c r="F16" s="120" t="inlineStr">
        <is>
          <t>NO</t>
        </is>
      </c>
      <c r="G16" s="121">
        <f>IF(F16="SÍ",D16,0)</f>
        <v/>
      </c>
      <c r="H16" s="105" t="inlineStr"/>
    </row>
    <row r="17">
      <c r="A17" s="87" t="inlineStr">
        <is>
          <t xml:space="preserve">  MOBILIARIO · sala de staff</t>
        </is>
      </c>
    </row>
    <row r="18">
      <c r="A18" s="105" t="n">
        <v>11</v>
      </c>
      <c r="B18" s="105" t="inlineStr">
        <is>
          <t>sala de staff</t>
        </is>
      </c>
      <c r="C18" s="106" t="inlineStr">
        <is>
          <t>Mesa redonda 1,60 ×5</t>
        </is>
      </c>
      <c r="D18" s="119" t="n">
        <v>590000</v>
      </c>
      <c r="E18" s="61">
        <f>D18/1510</f>
        <v/>
      </c>
      <c r="F18" s="120" t="inlineStr">
        <is>
          <t>NO</t>
        </is>
      </c>
      <c r="G18" s="121">
        <f>IF(F18="SÍ",D18,0)</f>
        <v/>
      </c>
      <c r="H18" s="105" t="inlineStr"/>
    </row>
    <row r="19">
      <c r="A19" s="105" t="n">
        <v>12</v>
      </c>
      <c r="B19" s="105" t="inlineStr">
        <is>
          <t>sala de staff</t>
        </is>
      </c>
      <c r="C19" s="106" t="inlineStr">
        <is>
          <t>Silla imperio bordó ×40</t>
        </is>
      </c>
      <c r="D19" s="119" t="n">
        <v>340000</v>
      </c>
      <c r="E19" s="61">
        <f>D19/1510</f>
        <v/>
      </c>
      <c r="F19" s="120" t="inlineStr">
        <is>
          <t>NO</t>
        </is>
      </c>
      <c r="G19" s="121">
        <f>IF(F19="SÍ",D19,0)</f>
        <v/>
      </c>
      <c r="H19" s="105" t="inlineStr"/>
    </row>
    <row r="20">
      <c r="A20" s="105" t="n">
        <v>13</v>
      </c>
      <c r="B20" s="105" t="inlineStr">
        <is>
          <t>sala de staff</t>
        </is>
      </c>
      <c r="C20" s="106" t="inlineStr">
        <is>
          <t>Perchero de pie ×1</t>
        </is>
      </c>
      <c r="D20" s="119" t="n">
        <v>40000</v>
      </c>
      <c r="E20" s="61">
        <f>D20/1510</f>
        <v/>
      </c>
      <c r="F20" s="120" t="inlineStr">
        <is>
          <t>NO</t>
        </is>
      </c>
      <c r="G20" s="121">
        <f>IF(F20="SÍ",D20,0)</f>
        <v/>
      </c>
      <c r="H20" s="105" t="inlineStr"/>
    </row>
    <row r="21">
      <c r="A21" s="105" t="n">
        <v>14</v>
      </c>
      <c r="B21" s="105" t="inlineStr">
        <is>
          <t>sala de staff</t>
        </is>
      </c>
      <c r="C21" s="106" t="inlineStr">
        <is>
          <t>Tacho de basura grande ×1</t>
        </is>
      </c>
      <c r="D21" s="119" t="n">
        <v>56300</v>
      </c>
      <c r="E21" s="61">
        <f>D21/1510</f>
        <v/>
      </c>
      <c r="F21" s="120" t="inlineStr">
        <is>
          <t>NO</t>
        </is>
      </c>
      <c r="G21" s="121">
        <f>IF(F21="SÍ",D21,0)</f>
        <v/>
      </c>
      <c r="H21" s="105" t="inlineStr"/>
    </row>
    <row r="22">
      <c r="A22" s="87" t="inlineStr">
        <is>
          <t xml:space="preserve">  MOBILIARIO · sala principal</t>
        </is>
      </c>
    </row>
    <row r="23">
      <c r="A23" s="105" t="n">
        <v>15</v>
      </c>
      <c r="B23" s="105" t="inlineStr">
        <is>
          <t>sala principal</t>
        </is>
      </c>
      <c r="C23" s="106" t="inlineStr">
        <is>
          <t>Silla imperio bordó ×5.000</t>
        </is>
      </c>
      <c r="D23" s="119" t="n">
        <v>42500000</v>
      </c>
      <c r="E23" s="61">
        <f>D23/1510</f>
        <v/>
      </c>
      <c r="F23" s="120" t="inlineStr">
        <is>
          <t>NO</t>
        </is>
      </c>
      <c r="G23" s="121">
        <f>IF(F23="SÍ",D23,0)</f>
        <v/>
      </c>
      <c r="H23" s="105" t="inlineStr">
        <is>
          <t>Reemplazadas por las 5.500 sillas de FDL Eventos.</t>
        </is>
      </c>
    </row>
    <row r="24">
      <c r="A24" s="105" t="n">
        <v>16</v>
      </c>
      <c r="B24" s="105" t="inlineStr">
        <is>
          <t>sala principal</t>
        </is>
      </c>
      <c r="C24" s="106" t="inlineStr">
        <is>
          <t>Mesa 1,80 × 0,90 ×40</t>
        </is>
      </c>
      <c r="D24" s="119" t="n">
        <v>2500000</v>
      </c>
      <c r="E24" s="61">
        <f>D24/1510</f>
        <v/>
      </c>
      <c r="F24" s="120" t="inlineStr">
        <is>
          <t>NO</t>
        </is>
      </c>
      <c r="G24" s="121">
        <f>IF(F24="SÍ",D24,0)</f>
        <v/>
      </c>
      <c r="H24" s="105" t="inlineStr"/>
    </row>
    <row r="25">
      <c r="A25" s="105" t="n">
        <v>17</v>
      </c>
      <c r="B25" s="105" t="inlineStr">
        <is>
          <t>sala principal</t>
        </is>
      </c>
      <c r="C25" s="106" t="inlineStr">
        <is>
          <t>Mantel ×40</t>
        </is>
      </c>
      <c r="D25" s="119" t="n">
        <v>900000</v>
      </c>
      <c r="E25" s="61">
        <f>D25/1510</f>
        <v/>
      </c>
      <c r="F25" s="120" t="inlineStr">
        <is>
          <t>NO</t>
        </is>
      </c>
      <c r="G25" s="121">
        <f>IF(F25="SÍ",D25,0)</f>
        <v/>
      </c>
      <c r="H25" s="105" t="inlineStr"/>
    </row>
    <row r="26">
      <c r="A26" s="105" t="n">
        <v>18</v>
      </c>
      <c r="B26" s="105" t="inlineStr">
        <is>
          <t>sala principal</t>
        </is>
      </c>
      <c r="C26" s="106" t="inlineStr">
        <is>
          <t>Mantel redondo ×8</t>
        </is>
      </c>
      <c r="D26" s="119" t="n">
        <v>256000</v>
      </c>
      <c r="E26" s="61">
        <f>D26/1510</f>
        <v/>
      </c>
      <c r="F26" s="120" t="inlineStr">
        <is>
          <t>NO</t>
        </is>
      </c>
      <c r="G26" s="121">
        <f>IF(F26="SÍ",D26,0)</f>
        <v/>
      </c>
      <c r="H26" s="105" t="inlineStr"/>
    </row>
    <row r="27">
      <c r="A27" s="87" t="inlineStr">
        <is>
          <t xml:space="preserve">  MOBILIARIO · camarín de speakers</t>
        </is>
      </c>
    </row>
    <row r="28">
      <c r="A28" s="105" t="n">
        <v>19</v>
      </c>
      <c r="B28" s="105" t="inlineStr">
        <is>
          <t>camarín de speakers</t>
        </is>
      </c>
      <c r="C28" s="106" t="inlineStr">
        <is>
          <t>Mesa redonda 1,60 ×1</t>
        </is>
      </c>
      <c r="D28" s="119" t="n">
        <v>118000</v>
      </c>
      <c r="E28" s="61">
        <f>D28/1510</f>
        <v/>
      </c>
      <c r="F28" s="120" t="inlineStr">
        <is>
          <t>NO</t>
        </is>
      </c>
      <c r="G28" s="121">
        <f>IF(F28="SÍ",D28,0)</f>
        <v/>
      </c>
      <c r="H28" s="105" t="inlineStr"/>
    </row>
    <row r="29">
      <c r="A29" s="105" t="n">
        <v>20</v>
      </c>
      <c r="B29" s="105" t="inlineStr">
        <is>
          <t>camarín de speakers</t>
        </is>
      </c>
      <c r="C29" s="106" t="inlineStr">
        <is>
          <t>Espejo ×1</t>
        </is>
      </c>
      <c r="D29" s="119" t="n">
        <v>79500</v>
      </c>
      <c r="E29" s="61">
        <f>D29/1510</f>
        <v/>
      </c>
      <c r="F29" s="120" t="inlineStr">
        <is>
          <t>NO</t>
        </is>
      </c>
      <c r="G29" s="121">
        <f>IF(F29="SÍ",D29,0)</f>
        <v/>
      </c>
      <c r="H29" s="105" t="inlineStr"/>
    </row>
    <row r="30">
      <c r="A30" s="105" t="n">
        <v>21</v>
      </c>
      <c r="B30" s="105" t="inlineStr">
        <is>
          <t>camarín de speakers</t>
        </is>
      </c>
      <c r="C30" s="106" t="inlineStr">
        <is>
          <t>Juego de living (sillones + mesa ratona)</t>
        </is>
      </c>
      <c r="D30" s="119" t="n">
        <v>1103642</v>
      </c>
      <c r="E30" s="61">
        <f>D30/1510</f>
        <v/>
      </c>
      <c r="F30" s="120" t="inlineStr">
        <is>
          <t>NO</t>
        </is>
      </c>
      <c r="G30" s="121">
        <f>IF(F30="SÍ",D30,0)</f>
        <v/>
      </c>
      <c r="H30" s="105" t="inlineStr">
        <is>
          <t>El mobiliario "más fino" del camarín: candidato a contratárselo a La Rural.</t>
        </is>
      </c>
    </row>
    <row r="31">
      <c r="A31" s="105" t="n">
        <v>22</v>
      </c>
      <c r="B31" s="105" t="inlineStr">
        <is>
          <t>camarín de speakers</t>
        </is>
      </c>
      <c r="C31" s="106" t="inlineStr">
        <is>
          <t>Perchero de pie ×1</t>
        </is>
      </c>
      <c r="D31" s="119" t="n">
        <v>40000</v>
      </c>
      <c r="E31" s="61">
        <f>D31/1510</f>
        <v/>
      </c>
      <c r="F31" s="120" t="inlineStr">
        <is>
          <t>NO</t>
        </is>
      </c>
      <c r="G31" s="121">
        <f>IF(F31="SÍ",D31,0)</f>
        <v/>
      </c>
      <c r="H31" s="105" t="inlineStr"/>
    </row>
    <row r="32">
      <c r="A32" s="105" t="n">
        <v>23</v>
      </c>
      <c r="B32" s="105" t="inlineStr">
        <is>
          <t>camarín de speakers</t>
        </is>
      </c>
      <c r="C32" s="106" t="inlineStr">
        <is>
          <t>Tacho de basura grande ×1</t>
        </is>
      </c>
      <c r="D32" s="119" t="n">
        <v>56300</v>
      </c>
      <c r="E32" s="61">
        <f>D32/1510</f>
        <v/>
      </c>
      <c r="F32" s="120" t="inlineStr">
        <is>
          <t>NO</t>
        </is>
      </c>
      <c r="G32" s="121">
        <f>IF(F32="SÍ",D32,0)</f>
        <v/>
      </c>
      <c r="H32" s="105" t="inlineStr"/>
    </row>
    <row r="33">
      <c r="A33" s="87" t="inlineStr">
        <is>
          <t xml:space="preserve">  MOBILIARIO · escenario y técnica</t>
        </is>
      </c>
    </row>
    <row r="34">
      <c r="A34" s="105" t="n">
        <v>24</v>
      </c>
      <c r="B34" s="105" t="inlineStr">
        <is>
          <t>escenario y técnica</t>
        </is>
      </c>
      <c r="C34" s="106" t="inlineStr">
        <is>
          <t>Mesa cocktail alta (escenario) ×1</t>
        </is>
      </c>
      <c r="D34" s="119" t="n">
        <v>45000</v>
      </c>
      <c r="E34" s="61">
        <f>D34/1510</f>
        <v/>
      </c>
      <c r="F34" s="120" t="inlineStr">
        <is>
          <t>NO</t>
        </is>
      </c>
      <c r="G34" s="121">
        <f>IF(F34="SÍ",D34,0)</f>
        <v/>
      </c>
      <c r="H34" s="105" t="inlineStr"/>
    </row>
    <row r="35">
      <c r="A35" s="105" t="n">
        <v>25</v>
      </c>
      <c r="B35" s="105" t="inlineStr">
        <is>
          <t>escenario y técnica</t>
        </is>
      </c>
      <c r="C35" s="106" t="inlineStr">
        <is>
          <t>Mesa alta para DJ ×1</t>
        </is>
      </c>
      <c r="D35" s="119" t="n">
        <v>62300</v>
      </c>
      <c r="E35" s="61">
        <f>D35/1510</f>
        <v/>
      </c>
      <c r="F35" s="120" t="inlineStr">
        <is>
          <t>NO</t>
        </is>
      </c>
      <c r="G35" s="121">
        <f>IF(F35="SÍ",D35,0)</f>
        <v/>
      </c>
      <c r="H35" s="105" t="inlineStr"/>
    </row>
    <row r="36">
      <c r="A36" s="87" t="inlineStr">
        <is>
          <t xml:space="preserve">  GENERALES</t>
        </is>
      </c>
    </row>
    <row r="37">
      <c r="A37" s="105" t="n">
        <v>26</v>
      </c>
      <c r="B37" s="105" t="inlineStr">
        <is>
          <t>GENERALES</t>
        </is>
      </c>
      <c r="C37" s="106" t="inlineStr">
        <is>
          <t>Dirección técnica de todo el evento + replanteo</t>
        </is>
      </c>
      <c r="D37" s="119" t="n">
        <v>5149179.2</v>
      </c>
      <c r="E37" s="61">
        <f>D37/1510</f>
        <v/>
      </c>
      <c r="F37" s="120" t="inlineStr">
        <is>
          <t>SÍ</t>
        </is>
      </c>
      <c r="G37" s="121">
        <f>IF(F37="SÍ",D37,0)</f>
        <v/>
      </c>
      <c r="H37" s="105" t="inlineStr">
        <is>
          <t>Ojo: el replanteo de sillas va aparte, con ingeniero propio.</t>
        </is>
      </c>
    </row>
    <row r="38">
      <c r="A38" s="105" t="n">
        <v>27</v>
      </c>
      <c r="B38" s="105" t="inlineStr">
        <is>
          <t>GENERALES</t>
        </is>
      </c>
      <c r="C38" s="106" t="inlineStr">
        <is>
          <t>Guardia eléctrica × 2 días</t>
        </is>
      </c>
      <c r="D38" s="119" t="n">
        <v>865800</v>
      </c>
      <c r="E38" s="61">
        <f>D38/1510</f>
        <v/>
      </c>
      <c r="F38" s="120" t="inlineStr">
        <is>
          <t>SÍ</t>
        </is>
      </c>
      <c r="G38" s="121">
        <f>IF(F38="SÍ",D38,0)</f>
        <v/>
      </c>
      <c r="H38" s="105" t="inlineStr"/>
    </row>
    <row r="39">
      <c r="A39" s="105" t="n">
        <v>28</v>
      </c>
      <c r="B39" s="105" t="inlineStr">
        <is>
          <t>GENERALES</t>
        </is>
      </c>
      <c r="C39" s="106" t="inlineStr">
        <is>
          <t>Guardia técnica × 2 días</t>
        </is>
      </c>
      <c r="D39" s="119" t="n">
        <v>905200</v>
      </c>
      <c r="E39" s="61">
        <f>D39/1510</f>
        <v/>
      </c>
      <c r="F39" s="120" t="inlineStr">
        <is>
          <t>SÍ</t>
        </is>
      </c>
      <c r="G39" s="121">
        <f>IF(F39="SÍ",D39,0)</f>
        <v/>
      </c>
      <c r="H39" s="105" t="inlineStr"/>
    </row>
    <row r="40"/>
    <row r="41">
      <c r="C41" s="3" t="inlineStr">
        <is>
          <t>TOTAL del presupuesto de La Rural</t>
        </is>
      </c>
      <c r="D41" s="122">
        <f>SUM(D6:D39)</f>
        <v/>
      </c>
      <c r="E41" s="19">
        <f>D41/1510</f>
        <v/>
      </c>
    </row>
    <row r="42">
      <c r="C42" s="3" t="inlineStr">
        <is>
          <t>Lo que se queda (marcado SÍ)</t>
        </is>
      </c>
      <c r="D42" s="123">
        <f>SUM(G6:G39)</f>
        <v/>
      </c>
      <c r="E42" s="91">
        <f>D42/1510</f>
        <v/>
      </c>
    </row>
    <row r="43">
      <c r="C43" s="3" t="inlineStr">
        <is>
          <t>Lo que se saca (marcado NO)</t>
        </is>
      </c>
      <c r="D43" s="124">
        <f>D41-D42</f>
        <v/>
      </c>
      <c r="E43" s="125">
        <f>D43/1510</f>
        <v/>
      </c>
    </row>
    <row r="44"/>
    <row r="45">
      <c r="C45" s="2" t="inlineStr">
        <is>
          <t>Lo marcado hoy es el escenario provisional cargado en COSTOS UNIFICADOS: panelería + dirección técnica + guardias. Cambiá los SÍ/NO y llevá el nuevo total a esa hoja.</t>
        </is>
      </c>
    </row>
  </sheetData>
  <mergeCells count="7">
    <mergeCell ref="A9:H9"/>
    <mergeCell ref="A33:H33"/>
    <mergeCell ref="A36:H36"/>
    <mergeCell ref="A5:H5"/>
    <mergeCell ref="A27:H27"/>
    <mergeCell ref="A22:H22"/>
    <mergeCell ref="A17:H17"/>
  </mergeCells>
  <dataValidations count="1">
    <dataValidation sqref="F6 F7 F8 F10 F11 F12 F13 F14 F15 F16 F18 F19 F20 F21 F23 F24 F25 F26 F28 F29 F30 F31 F32 F34 F35 F37 F38 F3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2026-09-03T15:41:11Z</dcterms:created>
  <dcterms:modified xsi:type="dcterms:W3CDTF">2026-09-03T20:03:12Z</dcterms:modified>
</cp:coreProperties>
</file>