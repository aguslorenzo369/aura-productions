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MERCH" sheetId="2" state="visible" r:id="rId2"/>
    <sheet name="DECISIONES" sheetId="3" state="visible" r:id="rId3"/>
  </sheets>
  <definedNames>
    <definedName name="_xlnm._FilterDatabase" localSheetId="1" hidden="1">'MERCH'!$A$4:$O$4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US$&quot;#,##0.00;(&quot;US$&quot;#,##0.00);-"/>
    <numFmt numFmtId="165" formatCode="0.0%"/>
    <numFmt numFmtId="166" formatCode="&quot;$&quot;#,##0;(&quot;$&quot;#,##0);-"/>
    <numFmt numFmtId="167" formatCode="&quot;US$&quot;#,##0;(&quot;US$&quot;#,##0);-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color rgb="00008000"/>
      <sz val="10"/>
    </font>
    <font>
      <name val="Arial"/>
      <b val="1"/>
      <sz val="11"/>
    </font>
    <font>
      <name val="Arial"/>
      <b val="1"/>
      <color rgb="001F3864"/>
      <sz val="11"/>
    </font>
    <font>
      <name val="Arial"/>
      <b val="1"/>
      <color rgb="001F3864"/>
      <sz val="9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164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7" fillId="5" borderId="1" applyAlignment="1" pivotButton="0" quotePrefix="0" xfId="0">
      <alignment vertical="top" wrapText="1"/>
    </xf>
    <xf numFmtId="165" fontId="7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8" fillId="0" borderId="0" pivotButton="0" quotePrefix="0" xfId="0"/>
    <xf numFmtId="167" fontId="8" fillId="3" borderId="1" pivotButton="0" quotePrefix="0" xfId="0"/>
    <xf numFmtId="4" fontId="7" fillId="6" borderId="0" pivotButton="0" quotePrefix="0" xfId="0"/>
    <xf numFmtId="0" fontId="9" fillId="0" borderId="0" pivotButton="0" quotePrefix="0" xfId="0"/>
    <xf numFmtId="167" fontId="10" fillId="0" borderId="1" pivotButton="0" quotePrefix="0" xfId="0"/>
    <xf numFmtId="167" fontId="10" fillId="7" borderId="1" pivotButton="0" quotePrefix="0" xfId="0"/>
    <xf numFmtId="0" fontId="5" fillId="2" borderId="1" pivotButton="0" quotePrefix="0" xfId="0"/>
    <xf numFmtId="0" fontId="4" fillId="0" borderId="1" pivotButton="0" quotePrefix="0" xfId="0"/>
    <xf numFmtId="3" fontId="7" fillId="6" borderId="1" pivotButton="0" quotePrefix="0" xfId="0"/>
    <xf numFmtId="164" fontId="4" fillId="0" borderId="1" pivotButton="0" quotePrefix="0" xfId="0"/>
    <xf numFmtId="167" fontId="10" fillId="3" borderId="1" pivotButton="0" quotePrefix="0" xfId="0"/>
    <xf numFmtId="167" fontId="10" fillId="5" borderId="1" pivotButton="0" quotePrefix="0" xfId="0"/>
    <xf numFmtId="167" fontId="2" fillId="0" borderId="0" pivotButton="0" quotePrefix="0" xfId="0"/>
    <xf numFmtId="164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6" fontId="7" fillId="7" borderId="1" applyAlignment="1" pivotButton="0" quotePrefix="0" xfId="0">
      <alignment vertical="top" wrapText="1"/>
    </xf>
    <xf numFmtId="165" fontId="7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4" fontId="7" fillId="7" borderId="1" applyAlignment="1" pivotButton="0" quotePrefix="0" xfId="0">
      <alignment vertical="top" wrapText="1"/>
    </xf>
    <xf numFmtId="164" fontId="3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11" fillId="0" borderId="0" pivotButton="0" quotePrefix="0" xfId="0"/>
    <xf numFmtId="164" fontId="11" fillId="3" borderId="1" pivotButton="0" quotePrefix="0" xfId="0"/>
    <xf numFmtId="0" fontId="12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4" borderId="1" pivotButton="0" quotePrefix="0" xfId="0"/>
    <xf numFmtId="0" fontId="13" fillId="8" borderId="0" pivotButton="0" quotePrefix="0" xfId="0"/>
    <xf numFmtId="0" fontId="0" fillId="8" borderId="0" pivotButton="0" quotePrefix="0" xfId="0"/>
    <xf numFmtId="0" fontId="3" fillId="0" borderId="1" pivotButton="0" quotePrefix="0" xfId="0"/>
    <xf numFmtId="164" fontId="7" fillId="0" borderId="1" pivotButton="0" quotePrefix="0" xfId="0"/>
    <xf numFmtId="164" fontId="3" fillId="3" borderId="1" pivotButton="0" quotePrefix="0" xfId="0"/>
    <xf numFmtId="165" fontId="4" fillId="0" borderId="1" pivotButton="0" quotePrefix="0" xfId="0"/>
    <xf numFmtId="0" fontId="2" fillId="4" borderId="1" pivotButton="0" quotePrefix="0" xfId="0"/>
    <xf numFmtId="164" fontId="7" fillId="4" borderId="1" pivotButton="0" quotePrefix="0" xfId="0"/>
    <xf numFmtId="0" fontId="0" fillId="0" borderId="1" pivotButton="0" quotePrefix="0" xfId="0"/>
    <xf numFmtId="165" fontId="3" fillId="4" borderId="1" pivotButton="0" quotePrefix="0" xfId="0"/>
    <xf numFmtId="165" fontId="11" fillId="3" borderId="1" pivotButton="0" quotePrefix="0" xfId="0"/>
    <xf numFmtId="0" fontId="14" fillId="0" borderId="0" pivotButton="0" quotePrefix="0" xfId="0"/>
    <xf numFmtId="0" fontId="2" fillId="3" borderId="1" pivotButton="0" quotePrefix="0" xfId="0"/>
    <xf numFmtId="0" fontId="7" fillId="3" borderId="1" pivotButton="0" quotePrefix="0" xfId="0"/>
    <xf numFmtId="0" fontId="2" fillId="7" borderId="1" pivotButton="0" quotePrefix="0" xfId="0"/>
    <xf numFmtId="0" fontId="7" fillId="7" borderId="1" pivotButton="0" quotePrefix="0" xfId="0"/>
    <xf numFmtId="164" fontId="3" fillId="7" borderId="1" pivotButton="0" quotePrefix="0" xfId="0"/>
    <xf numFmtId="0" fontId="3" fillId="7" borderId="1" pivotButton="0" quotePrefix="0" xfId="0"/>
    <xf numFmtId="0" fontId="2" fillId="0" borderId="1" pivotButton="0" quotePrefix="0" xfId="0"/>
    <xf numFmtId="0" fontId="7" fillId="0" borderId="1" pivotButton="0" quotePrefix="0" xfId="0"/>
    <xf numFmtId="164" fontId="3" fillId="0" borderId="1" pivotButton="0" quotePrefix="0" xfId="0"/>
    <xf numFmtId="167" fontId="3" fillId="4" borderId="1" pivotButton="0" quotePrefix="0" xfId="0"/>
    <xf numFmtId="167" fontId="3" fillId="3" borderId="1" pivotButton="0" quotePrefix="0" xfId="0"/>
    <xf numFmtId="167" fontId="3" fillId="5" borderId="1" pivotButton="0" quotePrefix="0" xfId="0"/>
    <xf numFmtId="167" fontId="3" fillId="0" borderId="1" pivotButton="0" quotePrefix="0" xfId="0"/>
    <xf numFmtId="165" fontId="4" fillId="0" borderId="1" applyAlignment="1" pivotButton="0" quotePrefix="0" xfId="0">
      <alignment vertical="top" wrapText="1"/>
    </xf>
    <xf numFmtId="164" fontId="8" fillId="3" borderId="1" pivotButton="0" quotePrefix="0" xfId="0"/>
    <xf numFmtId="167" fontId="4" fillId="5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7" fontId="4" fillId="4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  <xf numFmtId="0" fontId="15" fillId="0" borderId="0" pivotButton="0" quotePrefix="0" xfId="0"/>
    <xf numFmtId="166" fontId="7" fillId="0" borderId="1" pivotButton="0" quotePrefix="0" xfId="0"/>
    <xf numFmtId="0" fontId="7" fillId="6" borderId="1" pivotButton="0" quotePrefix="0" xfId="0"/>
    <xf numFmtId="166" fontId="4" fillId="0" borderId="1" pivotButton="0" quotePrefix="0" xfId="0"/>
    <xf numFmtId="166" fontId="3" fillId="4" borderId="1" pivotButton="0" quotePrefix="0" xfId="0"/>
    <xf numFmtId="166" fontId="3" fillId="3" borderId="1" pivotButton="0" quotePrefix="0" xfId="0"/>
    <xf numFmtId="166" fontId="3" fillId="5" borderId="1" pivotButton="0" quotePrefix="0" xfId="0"/>
    <xf numFmtId="16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Costo total del evento de Argentina · CMC 2026</t>
        </is>
      </c>
    </row>
    <row r="2">
      <c r="A2" s="2" t="inlineStr">
        <is>
          <t>La Rural, Pabellón Azul — montaje 2 de octubre, evento 3 y 4 de octubre de 2026.</t>
        </is>
      </c>
    </row>
    <row r="3"/>
    <row r="4" ht="30" customHeight="1">
      <c r="A4" s="3" t="inlineStr">
        <is>
          <t>Qué es esto</t>
        </is>
      </c>
      <c r="B4" s="4" t="inlineStr">
        <is>
          <t>Unifica los presupuestos que llegaron por mail (jun-ago 2026) con la hoja "Argentina (3 oct-4 oct)" del master de inversión, para poder decir cuánto sale el evento de verdad y cuánto por persona.</t>
        </is>
      </c>
    </row>
    <row r="5" ht="30" customHeight="1">
      <c r="A5" s="3" t="inlineStr">
        <is>
          <t>Fecha de corte</t>
        </is>
      </c>
      <c r="B5" s="4" t="inlineStr">
        <is>
          <t>Todo calculado al 02/09/2026.</t>
        </is>
      </c>
    </row>
    <row r="6" ht="30" customHeight="1">
      <c r="A6" s="3" t="inlineStr">
        <is>
          <t>Tipo de cambio</t>
        </is>
      </c>
      <c r="B6" s="4" t="inlineStr">
        <is>
          <t>Celda 1510, editable. $1.510, que es el dólar con el que viene trabajando Agustina. Se verificó contra dos de sus cifras: el montaje de $900.000 le da US$596 y el entelado de $24.500.000 le da US$16.225. Todas las conversiones de pesos a dólares salen de esa única celda.</t>
        </is>
      </c>
    </row>
    <row r="7" ht="8" customHeight="1">
      <c r="A7" s="5" t="inlineStr"/>
      <c r="B7" s="4" t="inlineStr"/>
    </row>
    <row r="8" ht="30" customHeight="1">
      <c r="A8" s="3" t="inlineStr">
        <is>
          <t>Cómo leer los estados</t>
        </is>
      </c>
      <c r="B8" s="4" t="inlineStr">
        <is>
          <t>Contratado = hay contrato o anticipo pagado. Cotizado = hay presupuesto formal por mail. Alternativa = segunda opción para el mismo ítem, NO suma al total. Otro país = es un gasto de otro evento de la gira, entra en cero. Reemplazado = estimado viejo que ya está cubierto por facturas reales, entra en cero. Sin cotizar = sólo hay un estimado del sheet, o ni eso.</t>
        </is>
      </c>
    </row>
    <row r="9" ht="30" customHeight="1">
      <c r="A9" s="3" t="inlineStr">
        <is>
          <t>Columna "% Argentina"</t>
        </is>
      </c>
      <c r="B9" s="4" t="inlineStr">
        <is>
          <t>Es la parte de cada compra que se le imputa a este evento. Vale 100% en casi todo. Los pañuelos son una compra compartida con Uruguay y van al 65% (5.500 de 8.500 unidades); la gráfica de Uruguay va al 0%.</t>
        </is>
      </c>
    </row>
    <row r="10" ht="30" customHeight="1">
      <c r="A10" s="3" t="inlineStr">
        <is>
          <t>Regla del total</t>
        </is>
      </c>
      <c r="B10" s="4" t="inlineStr">
        <is>
          <t>El total suma los ítems Contratado + Cotizado + Sin cotizar. Los marcados "Alternativa" quedan fuera para no duplicar (las sillas de La Rural vs las de FDL, y las LED de VMG contra la técnica integral de Prina).</t>
        </is>
      </c>
    </row>
    <row r="11" ht="30" customHeight="1">
      <c r="A11" s="3" t="inlineStr">
        <is>
          <t>IVA</t>
        </is>
      </c>
      <c r="B11" s="4" t="inlineStr">
        <is>
          <t>Las cotizaciones argentinas casi todas vienen sin IVA. La columna IVA aplica la alícuota de cada una (21% general, 10,5% el servicio médico) para llegar al costo real.</t>
        </is>
      </c>
    </row>
    <row r="12" ht="8" customHeight="1">
      <c r="A12" s="5" t="inlineStr"/>
      <c r="B12" s="4" t="inlineStr"/>
    </row>
    <row r="13" ht="30" customHeight="1">
      <c r="A13" s="3" t="inlineStr">
        <is>
          <t>Advertencia 1 — vencimientos</t>
        </is>
      </c>
      <c r="B13" s="4" t="inlineStr">
        <is>
          <t>La cotización de Prina (técnica, el ítem más caro en pesos) tenía validez de 10 días y venció en junio. VMG se reserva recotizar si el dólar salta más de 15%. La Rural ajusta el saldo por IPC. Los pesos de este libro son de la fecha de cada cotización, no de hoy.</t>
        </is>
      </c>
    </row>
    <row r="14" ht="30" customHeight="1">
      <c r="A14" s="3" t="inlineStr">
        <is>
          <t>Advertencia 2 — huecos</t>
        </is>
      </c>
      <c r="B14" s="4" t="inlineStr">
        <is>
          <t>Esta hoja tiene sólo lo que cargó Agustina. Los ecobaños, la marquetería, el replanteo de sillas y los cheques/escarapelas/diplomas/placas/manillas están definidos pero todavía sin precio, así que entran en cero. El costo por persona es, por lo tanto, un piso.</t>
        </is>
      </c>
    </row>
    <row r="15" ht="8" customHeight="1">
      <c r="A15" s="5" t="inlineStr"/>
      <c r="B15" s="4" t="inlineStr"/>
    </row>
    <row r="16" ht="30" customHeight="1">
      <c r="A16" s="3" t="inlineStr">
        <is>
          <t>Merch</t>
        </is>
      </c>
      <c r="B16" s="4" t="inlineStr">
        <is>
          <t>Todo el merch sale de la carpeta de Drive "Presupuestos merch": nueve facturas reales (2601009 a 2601019) que reemplazan el renglón único de US$8.689 que traía el master. Los proveedores son argentinos (Remerasyestampados, Textil Ryu, Leotex, Derqui), no colombianos como decía la hoja PAGOS. Ver la hoja MERCH.</t>
        </is>
      </c>
    </row>
    <row r="17" ht="30" customHeight="1">
      <c r="A17" s="3" t="inlineStr">
        <is>
          <t>Merch — qué se pagó</t>
        </is>
      </c>
      <c r="B17" s="4" t="inlineStr">
        <is>
          <t>Las gorras están pagadas al 100%. Pañuelos, lanyards y gráfica de Argentina tienen el 50% abonado. Las remeras y el bordado de las gorras no tienen nada pagado: se debe el 100%.</t>
        </is>
      </c>
    </row>
    <row r="18" ht="30" customHeight="1">
      <c r="A18" s="3" t="inlineStr">
        <is>
          <t>Merch — dos ajustes</t>
        </is>
      </c>
      <c r="B18" s="4" t="inlineStr">
        <is>
          <t>Se sacaron dos duplicaciones: las cintas de Blocko eran el mismo ítem que los lanyards de Leotex ya contratados, y la gráfica de Uruguay (US$1.233) estaba cargada en el master con país = Argentina.</t>
        </is>
      </c>
    </row>
    <row r="19" ht="30" customHeight="1">
      <c r="A19" s="3" t="inlineStr">
        <is>
          <t>Advertencia 3 — facturación</t>
        </is>
      </c>
      <c r="B19" s="4" t="inlineStr">
        <is>
          <t>FDL Eventos (sillas) y Vittal (servicio médico) todavía no confirmaron si pueden facturar a la empresa de EE.UU. Si no pueden, hay que resolver el circuito de pago antes de cerrar.</t>
        </is>
      </c>
    </row>
    <row r="20" ht="8" customHeight="1">
      <c r="A20" s="5" t="inlineStr"/>
      <c r="B20" s="4" t="inlineStr"/>
    </row>
    <row r="21" ht="30" customHeight="1">
      <c r="A21" s="3" t="inlineStr">
        <is>
          <t>Fuentes de mail</t>
        </is>
      </c>
      <c r="B21" s="4" t="inlineStr">
        <is>
          <t>La Rural infraestructura (criccio@larural.com.ar, 17/08) · La Rural conectividad (16/06) · Prina (18/06) · VMG (29/06) · Road Seguridad (12/08) · Vittal (28/08) · Higia + Gale (22/06) · Chanes Seguros (13/07) · Blocko (09/06) · FDL Eventos (07/08) · AmbientHouse (16/06).</t>
        </is>
      </c>
    </row>
    <row r="22" ht="30" customHeight="1">
      <c r="A22" s="3" t="inlineStr">
        <is>
          <t>Fuente de planilla</t>
        </is>
      </c>
      <c r="B22" s="4" t="inlineStr">
        <is>
          <t>INVERSIÓN GIRA CUMBRE 2026.xlsx — hojas "Argentina (3 oct-4 oct)" y "PAGOS".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8" customWidth="1" min="3" max="3"/>
    <col width="20" customWidth="1" min="4" max="4"/>
    <col width="15" customWidth="1" min="5" max="5"/>
    <col width="15" customWidth="1" min="6" max="6"/>
    <col width="7" customWidth="1" min="7" max="7"/>
    <col width="15" customWidth="1" min="8" max="8"/>
    <col width="15" customWidth="1" min="9" max="9"/>
    <col width="18" customWidth="1" min="10" max="10"/>
    <col width="11" customWidth="1" min="11" max="11"/>
    <col width="15" customWidth="1" min="12" max="12"/>
    <col width="15" customWidth="1" min="13" max="13"/>
    <col width="15" customWidth="1" min="14" max="14"/>
    <col width="62" customWidth="1" min="15" max="15"/>
  </cols>
  <sheetData>
    <row r="1">
      <c r="A1" s="1" t="inlineStr">
        <is>
          <t>Todo el merch, factura por factura</t>
        </is>
      </c>
    </row>
    <row r="2">
      <c r="A2" s="2" t="inlineStr">
        <is>
          <t>Carpeta de Drive "Presupuestos merch" · facturas 2601009 a 2601019 · emisor IIDAI LLC. Los proveedores son argentinos, no colombianos.</t>
        </is>
      </c>
    </row>
    <row r="3"/>
    <row r="4">
      <c r="A4" s="6" t="inlineStr">
        <is>
          <t>Proveedor</t>
        </is>
      </c>
      <c r="B4" s="6" t="inlineStr">
        <is>
          <t>Ítem</t>
        </is>
      </c>
      <c r="C4" s="6" t="inlineStr">
        <is>
          <t>Cant.</t>
        </is>
      </c>
      <c r="D4" s="6" t="inlineStr">
        <is>
          <t>Factura</t>
        </is>
      </c>
      <c r="E4" s="6" t="inlineStr">
        <is>
          <t>Fecha</t>
        </is>
      </c>
      <c r="F4" s="6" t="inlineStr">
        <is>
          <t>Neto (ARS)</t>
        </is>
      </c>
      <c r="G4" s="6" t="inlineStr">
        <is>
          <t>IVA</t>
        </is>
      </c>
      <c r="H4" s="6" t="inlineStr">
        <is>
          <t>Total (ARS)</t>
        </is>
      </c>
      <c r="I4" s="6" t="inlineStr">
        <is>
          <t>USDT de la factura</t>
        </is>
      </c>
      <c r="J4" s="6" t="inlineStr">
        <is>
          <t>País</t>
        </is>
      </c>
      <c r="K4" s="6" t="inlineStr">
        <is>
          <t>% Argentina</t>
        </is>
      </c>
      <c r="L4" s="6" t="inlineStr">
        <is>
          <t>Costo Argentina (USD)</t>
        </is>
      </c>
      <c r="M4" s="6" t="inlineStr">
        <is>
          <t>Falta pagar · regla 50%</t>
        </is>
      </c>
      <c r="N4" s="6" t="inlineStr">
        <is>
          <t>Falta pagar · según factura</t>
        </is>
      </c>
      <c r="O4" s="6" t="inlineStr">
        <is>
          <t>Nota</t>
        </is>
      </c>
    </row>
    <row r="5" ht="46" customHeight="1">
      <c r="A5" s="30" t="inlineStr">
        <is>
          <t>REMERASYESTAMPADOS</t>
        </is>
      </c>
      <c r="B5" s="32" t="inlineStr">
        <is>
          <t>Pañuelos / pañoletas estampados</t>
        </is>
      </c>
      <c r="C5" s="32" t="inlineStr">
        <is>
          <t>8.500</t>
        </is>
      </c>
      <c r="D5" s="31" t="inlineStr">
        <is>
          <t>2601012 → saldo 2601019</t>
        </is>
      </c>
      <c r="E5" s="31" t="inlineStr">
        <is>
          <t>20/06 → 16/08</t>
        </is>
      </c>
      <c r="F5" s="33" t="n">
        <v>13387500</v>
      </c>
      <c r="G5" s="34" t="n">
        <v>0.21</v>
      </c>
      <c r="H5" s="35">
        <f>F5*(1+N(G5))</f>
        <v/>
      </c>
      <c r="I5" s="38" t="n">
        <v>5276.51</v>
      </c>
      <c r="J5" s="32" t="inlineStr">
        <is>
          <t>Argentina + Uruguay</t>
        </is>
      </c>
      <c r="K5" s="34" t="n">
        <v>0.65</v>
      </c>
      <c r="L5" s="65">
        <f>K5*H5/1510</f>
        <v/>
      </c>
      <c r="M5" s="37">
        <f>K5*5276.51</f>
        <v/>
      </c>
      <c r="N5" s="37">
        <f>K5*5276.51</f>
        <v/>
      </c>
      <c r="O5" s="39" t="inlineStr">
        <is>
          <t>La 2601019 ya viene emitida por el 50% restante. Falta definir con Uruguay como se reparte: aca se imputa el 65% a Argentina.</t>
        </is>
      </c>
    </row>
    <row r="6" ht="46" customHeight="1">
      <c r="A6" s="66" t="inlineStr">
        <is>
          <t>REMERASYESTAMPADOS</t>
        </is>
      </c>
      <c r="B6" s="67" t="inlineStr">
        <is>
          <t>Remeras premium estampadas</t>
        </is>
      </c>
      <c r="C6" s="67" t="inlineStr">
        <is>
          <t>250</t>
        </is>
      </c>
      <c r="D6" s="68" t="inlineStr">
        <is>
          <t>2601017</t>
        </is>
      </c>
      <c r="E6" s="68" t="inlineStr">
        <is>
          <t>16/08</t>
        </is>
      </c>
      <c r="F6" s="69" t="n">
        <v>3527500</v>
      </c>
      <c r="G6" s="70" t="n">
        <v>0.21</v>
      </c>
      <c r="H6" s="71">
        <f>F6*(1+N(G6))</f>
        <v/>
      </c>
      <c r="I6" s="72" t="n">
        <v>2780.64</v>
      </c>
      <c r="J6" s="67" t="inlineStr">
        <is>
          <t>Argentina</t>
        </is>
      </c>
      <c r="K6" s="70" t="n">
        <v>1</v>
      </c>
      <c r="L6" s="73">
        <f>K6*H6/1510</f>
        <v/>
      </c>
      <c r="M6" s="74">
        <f>K6*2780.64</f>
        <v/>
      </c>
      <c r="N6" s="74">
        <f>K6*2780.64</f>
        <v/>
      </c>
      <c r="O6" s="75" t="inlineStr">
        <is>
          <t>Se debe el 100%. Sube de 230 a 250 unidades contra la factura original 2601011, al mismo precio unitario de $14.110.</t>
        </is>
      </c>
    </row>
    <row r="7" ht="46" customHeight="1">
      <c r="A7" s="66" t="inlineStr">
        <is>
          <t>REMERASYESTAMPADOS</t>
        </is>
      </c>
      <c r="B7" s="67" t="inlineStr">
        <is>
          <t>Bordado computarizado en gorras</t>
        </is>
      </c>
      <c r="C7" s="67" t="inlineStr">
        <is>
          <t>940</t>
        </is>
      </c>
      <c r="D7" s="68" t="inlineStr">
        <is>
          <t>2601016</t>
        </is>
      </c>
      <c r="E7" s="68" t="inlineStr">
        <is>
          <t>10/08</t>
        </is>
      </c>
      <c r="F7" s="69" t="n">
        <v>2643200</v>
      </c>
      <c r="G7" s="70" t="n"/>
      <c r="H7" s="71">
        <f>F7*(1+N(G7))</f>
        <v/>
      </c>
      <c r="I7" s="72" t="n">
        <v>1721.95</v>
      </c>
      <c r="J7" s="67" t="inlineStr">
        <is>
          <t>Argentina</t>
        </is>
      </c>
      <c r="K7" s="70" t="n">
        <v>1</v>
      </c>
      <c r="L7" s="73">
        <f>K7*H7/1510</f>
        <v/>
      </c>
      <c r="M7" s="74">
        <f>K7*1721.95</f>
        <v/>
      </c>
      <c r="N7" s="74">
        <f>K7*1721.95</f>
        <v/>
      </c>
      <c r="O7" s="75" t="inlineStr">
        <is>
          <t>Se debe el 100%. Precio final sin IVA, con el descuento de $411.800 ya aplicado. Las gorras las provee el cliente.</t>
        </is>
      </c>
    </row>
    <row r="8" ht="46" customHeight="1">
      <c r="A8" s="9" t="inlineStr">
        <is>
          <t>TEXTIL RYU S.R.L.</t>
        </is>
      </c>
      <c r="B8" s="11" t="inlineStr">
        <is>
          <t>Gorra Flex unicolor/bicolor</t>
        </is>
      </c>
      <c r="C8" s="11" t="inlineStr">
        <is>
          <t>940</t>
        </is>
      </c>
      <c r="D8" s="10" t="inlineStr">
        <is>
          <t>2601009</t>
        </is>
      </c>
      <c r="E8" s="10" t="inlineStr">
        <is>
          <t>20/06</t>
        </is>
      </c>
      <c r="F8" s="40" t="n">
        <v>2224980</v>
      </c>
      <c r="G8" s="13" t="n">
        <v>0.21</v>
      </c>
      <c r="H8" s="41">
        <f>F8*(1+N(G8))</f>
        <v/>
      </c>
      <c r="I8" s="12" t="n"/>
      <c r="J8" s="11" t="inlineStr">
        <is>
          <t>Argentina</t>
        </is>
      </c>
      <c r="K8" s="13" t="n">
        <v>1</v>
      </c>
      <c r="L8" s="76">
        <f>K8*H8/1510</f>
        <v/>
      </c>
      <c r="M8" s="14">
        <f>K8*0.0</f>
        <v/>
      </c>
      <c r="N8" s="14">
        <f>K8*0.0</f>
        <v/>
      </c>
      <c r="O8" s="16" t="inlineStr">
        <is>
          <t>Pagada al 100% el 25/06. Es la compra de la gorra, distinta del bordado.</t>
        </is>
      </c>
    </row>
    <row r="9" ht="46" customHeight="1">
      <c r="A9" s="30" t="inlineStr">
        <is>
          <t>LEOTEX</t>
        </is>
      </c>
      <c r="B9" s="32" t="inlineStr">
        <is>
          <t>Lanyard premium doble raso 25 mm</t>
        </is>
      </c>
      <c r="C9" s="32" t="inlineStr">
        <is>
          <t>1.360</t>
        </is>
      </c>
      <c r="D9" s="31" t="inlineStr">
        <is>
          <t>2601013 → 2601018</t>
        </is>
      </c>
      <c r="E9" s="31" t="inlineStr">
        <is>
          <t>20/06 → 16/08</t>
        </is>
      </c>
      <c r="F9" s="33" t="n">
        <v>2070600</v>
      </c>
      <c r="G9" s="34" t="n">
        <v>0.21</v>
      </c>
      <c r="H9" s="35">
        <f>F9*(1+N(G9))</f>
        <v/>
      </c>
      <c r="I9" s="38" t="n">
        <v>1632.2</v>
      </c>
      <c r="J9" s="32" t="inlineStr">
        <is>
          <t>Argentina</t>
        </is>
      </c>
      <c r="K9" s="34" t="n">
        <v>1</v>
      </c>
      <c r="L9" s="65">
        <f>K9*H9/1510</f>
        <v/>
      </c>
      <c r="M9" s="37">
        <f>K9*816.1</f>
        <v/>
      </c>
      <c r="N9" s="37">
        <f>K9*1632.2</f>
        <v/>
      </c>
      <c r="O9" s="39" t="inlineStr">
        <is>
          <t>A CONFIRMAR: la carpeta se llama "Nuevo pago - 50%" pero la factura 2601018 viene por el total, igual que la original. El master registraba un saldo de US$850.</t>
        </is>
      </c>
    </row>
    <row r="10" ht="46" customHeight="1">
      <c r="A10" s="30" t="inlineStr">
        <is>
          <t>DERQUI IMPRESIONES</t>
        </is>
      </c>
      <c r="B10" s="32" t="inlineStr">
        <is>
          <t>Grafica oficial CMC — Argentina</t>
        </is>
      </c>
      <c r="C10" s="32" t="inlineStr">
        <is>
          <t>—</t>
        </is>
      </c>
      <c r="D10" s="31" t="inlineStr">
        <is>
          <t>2601014</t>
        </is>
      </c>
      <c r="E10" s="31" t="inlineStr">
        <is>
          <t>20/06 → 16/08</t>
        </is>
      </c>
      <c r="F10" s="33" t="n">
        <v>3025260</v>
      </c>
      <c r="G10" s="34" t="n">
        <v>0.21</v>
      </c>
      <c r="H10" s="35">
        <f>F10*(1+N(G10))</f>
        <v/>
      </c>
      <c r="I10" s="38" t="n">
        <v>2384.73</v>
      </c>
      <c r="J10" s="32" t="inlineStr">
        <is>
          <t>Argentina</t>
        </is>
      </c>
      <c r="K10" s="34" t="n">
        <v>1</v>
      </c>
      <c r="L10" s="65">
        <f>K10*H10/1510</f>
        <v/>
      </c>
      <c r="M10" s="37">
        <f>K10*1192.37</f>
        <v/>
      </c>
      <c r="N10" s="37">
        <f>K10*2384.73</f>
        <v/>
      </c>
      <c r="O10" s="39" t="inlineStr">
        <is>
          <t>A CONFIRMAR: la reemision del 16/08 viene por el total. El master registraba un saldo de US$1.839 al 13/09.</t>
        </is>
      </c>
    </row>
    <row r="11" ht="46" customHeight="1">
      <c r="A11" s="42" t="inlineStr">
        <is>
          <t>DERQUI IMPRESIONES</t>
        </is>
      </c>
      <c r="B11" s="44" t="inlineStr">
        <is>
          <t>Grafica oficial CMC — Uruguay</t>
        </is>
      </c>
      <c r="C11" s="44" t="inlineStr">
        <is>
          <t>—</t>
        </is>
      </c>
      <c r="D11" s="43" t="inlineStr">
        <is>
          <t>2601015</t>
        </is>
      </c>
      <c r="E11" s="43" t="inlineStr">
        <is>
          <t>20/06 → 16/08</t>
        </is>
      </c>
      <c r="F11" s="50" t="n">
        <v>1564626</v>
      </c>
      <c r="G11" s="46" t="n">
        <v>0.21</v>
      </c>
      <c r="H11" s="51">
        <f>F11*(1+N(G11))</f>
        <v/>
      </c>
      <c r="I11" s="45" t="n">
        <v>1233.35</v>
      </c>
      <c r="J11" s="44" t="inlineStr">
        <is>
          <t>Uruguay</t>
        </is>
      </c>
      <c r="K11" s="46" t="n">
        <v>0</v>
      </c>
      <c r="L11" s="77">
        <f>K11*H11/1510</f>
        <v/>
      </c>
      <c r="M11" s="47">
        <f>K11*616.68</f>
        <v/>
      </c>
      <c r="N11" s="47">
        <f>K11*1233.35</f>
        <v/>
      </c>
      <c r="O11" s="49" t="inlineStr">
        <is>
          <t>NO ES DE ARGENTINA. En la hoja PAGOS del master estaba cargada con pais = Argentina: es el monto que inflaba el total argentino.</t>
        </is>
      </c>
    </row>
    <row r="12" ht="46" customHeight="1">
      <c r="A12" s="42" t="inlineStr">
        <is>
          <t>Blocko</t>
        </is>
      </c>
      <c r="B12" s="44" t="inlineStr">
        <is>
          <t>Cintas portacredencial (alternativa descartada)</t>
        </is>
      </c>
      <c r="C12" s="44" t="inlineStr">
        <is>
          <t>1.300</t>
        </is>
      </c>
      <c r="D12" s="43" t="inlineStr">
        <is>
          <t>presupuesto 09/06</t>
        </is>
      </c>
      <c r="E12" s="43" t="inlineStr">
        <is>
          <t>09/06</t>
        </is>
      </c>
      <c r="F12" s="50" t="n">
        <v>1749800</v>
      </c>
      <c r="G12" s="46" t="n">
        <v>0.21</v>
      </c>
      <c r="H12" s="51">
        <f>F12*(1+N(G12))</f>
        <v/>
      </c>
      <c r="I12" s="45" t="n"/>
      <c r="J12" s="44" t="inlineStr">
        <is>
          <t>Argentina</t>
        </is>
      </c>
      <c r="K12" s="46" t="n">
        <v>0</v>
      </c>
      <c r="L12" s="77">
        <f>K12*H12/1510</f>
        <v/>
      </c>
      <c r="M12" s="47">
        <f>K12*0.0</f>
        <v/>
      </c>
      <c r="N12" s="47">
        <f>K12*0.0</f>
        <v/>
      </c>
      <c r="O12" s="49" t="inlineStr">
        <is>
          <t>Es el mismo item que los lanyards de LEOTEX, que ya esta contratado. Estaba sumando dos veces en la version anterior de esta planilla.</t>
        </is>
      </c>
    </row>
    <row r="13">
      <c r="B13" s="78" t="inlineStr">
        <is>
          <t>TOTAL IMPUTADO A ARGENTINA</t>
        </is>
      </c>
      <c r="L13" s="79">
        <f>SUM(L5:L12)</f>
        <v/>
      </c>
      <c r="M13" s="79">
        <f>SUM(M5:M12)</f>
        <v/>
      </c>
      <c r="N13" s="79">
        <f>SUM(N5:N12)</f>
        <v/>
      </c>
    </row>
    <row r="14"/>
    <row r="15">
      <c r="A15" s="80" t="inlineStr">
        <is>
          <t>CÓMO LEER LOS COLORES</t>
        </is>
      </c>
    </row>
    <row r="16">
      <c r="A16" s="81" t="inlineStr">
        <is>
          <t>Verde — pagado al 100%: la compra de las gorras de Textil Ryu.</t>
        </is>
      </c>
      <c r="B16" s="82" t="n"/>
      <c r="C16" s="82" t="n"/>
      <c r="D16" s="82" t="n"/>
      <c r="E16" s="82" t="n"/>
      <c r="F16" s="83" t="n"/>
    </row>
    <row r="17">
      <c r="A17" s="84" t="inlineStr">
        <is>
          <t>Amarillo — 50% abonado, queda el saldo: pañuelos, lanyards y gráfica de Argentina.</t>
        </is>
      </c>
      <c r="B17" s="82" t="n"/>
      <c r="C17" s="82" t="n"/>
      <c r="D17" s="82" t="n"/>
      <c r="E17" s="82" t="n"/>
      <c r="F17" s="83" t="n"/>
    </row>
    <row r="18">
      <c r="A18" s="85" t="inlineStr">
        <is>
          <t>Rojo — sin pagar nada, se debe el 100%: las remeras y el bordado de las gorras.</t>
        </is>
      </c>
      <c r="B18" s="82" t="n"/>
      <c r="C18" s="82" t="n"/>
      <c r="D18" s="82" t="n"/>
      <c r="E18" s="82" t="n"/>
      <c r="F18" s="83" t="n"/>
    </row>
    <row r="19">
      <c r="A19" s="86" t="inlineStr">
        <is>
          <t>Gris — no suma al costo de Argentina: la gráfica de Uruguay y la cotización descartada de Blocko.</t>
        </is>
      </c>
      <c r="B19" s="82" t="n"/>
      <c r="C19" s="82" t="n"/>
      <c r="D19" s="82" t="n"/>
      <c r="E19" s="82" t="n"/>
      <c r="F19" s="83" t="n"/>
    </row>
    <row r="20"/>
    <row r="21">
      <c r="A21" s="55" t="inlineStr">
        <is>
          <t>LO QUE IBA A COSTAR CONTRA LO QUE COSTÓ</t>
        </is>
      </c>
    </row>
    <row r="22">
      <c r="A22" s="2" t="inlineStr">
        <is>
          <t>Precios unitarios de merch.cmc2026.com al 06/07/2026, dólar $1.515. Compara el proveedor que traía Cumbre contra los proveedores argentinos que consiguió Agustina.</t>
        </is>
      </c>
    </row>
    <row r="23">
      <c r="A23" s="6" t="inlineStr">
        <is>
          <t>Producto</t>
        </is>
      </c>
      <c r="B23" s="6" t="inlineStr">
        <is>
          <t>Cant.</t>
        </is>
      </c>
      <c r="C23" s="6" t="inlineStr">
        <is>
          <t>Unitario Cumbre</t>
        </is>
      </c>
      <c r="D23" s="6" t="inlineStr">
        <is>
          <t>Total Cumbre</t>
        </is>
      </c>
      <c r="E23" s="6" t="inlineStr">
        <is>
          <t>Unitario Agustina</t>
        </is>
      </c>
      <c r="F23" s="6" t="inlineStr">
        <is>
          <t>Total Agustina</t>
        </is>
      </c>
      <c r="G23" s="6" t="inlineStr">
        <is>
          <t>Ahorro</t>
        </is>
      </c>
      <c r="H23" s="6" t="inlineStr">
        <is>
          <t>Ahorro %</t>
        </is>
      </c>
    </row>
    <row r="24">
      <c r="A24" s="87" t="inlineStr">
        <is>
          <t xml:space="preserve">  ARGENTINA</t>
        </is>
      </c>
    </row>
    <row r="25">
      <c r="A25" s="89" t="inlineStr">
        <is>
          <t>Remeras estampadas</t>
        </is>
      </c>
      <c r="B25" s="59" t="inlineStr">
        <is>
          <t>100</t>
        </is>
      </c>
      <c r="C25" s="90" t="n">
        <v>16.17</v>
      </c>
      <c r="D25" s="90" t="n">
        <v>1617.16</v>
      </c>
      <c r="E25" s="90" t="n">
        <v>9.31</v>
      </c>
      <c r="F25" s="90" t="n">
        <v>931.35</v>
      </c>
      <c r="G25" s="91">
        <f>D25-F25</f>
        <v/>
      </c>
      <c r="H25" s="92">
        <f>G25/D25</f>
        <v/>
      </c>
    </row>
    <row r="26">
      <c r="A26" s="89" t="inlineStr">
        <is>
          <t>Gorras negras</t>
        </is>
      </c>
      <c r="B26" s="59" t="inlineStr">
        <is>
          <t>1.000</t>
        </is>
      </c>
      <c r="C26" s="90" t="n">
        <v>9.9</v>
      </c>
      <c r="D26" s="90" t="n">
        <v>9900.99</v>
      </c>
      <c r="E26" s="90" t="n">
        <v>1.64</v>
      </c>
      <c r="F26" s="90" t="n">
        <v>1636.96</v>
      </c>
      <c r="G26" s="91">
        <f>D26-F26</f>
        <v/>
      </c>
      <c r="H26" s="92">
        <f>G26/D26</f>
        <v/>
      </c>
    </row>
    <row r="27">
      <c r="A27" s="89" t="inlineStr">
        <is>
          <t>Cinta colgante / lanyard</t>
        </is>
      </c>
      <c r="B27" s="59" t="inlineStr">
        <is>
          <t>1.000</t>
        </is>
      </c>
      <c r="C27" s="90" t="n">
        <v>1.25</v>
      </c>
      <c r="D27" s="90" t="n">
        <v>1247.52</v>
      </c>
      <c r="E27" s="90" t="n">
        <v>1</v>
      </c>
      <c r="F27" s="90" t="n">
        <v>1004.95</v>
      </c>
      <c r="G27" s="91">
        <f>D27-F27</f>
        <v/>
      </c>
      <c r="H27" s="92">
        <f>G27/D27</f>
        <v/>
      </c>
    </row>
    <row r="28">
      <c r="A28" s="89" t="inlineStr">
        <is>
          <t>Credenciales 10 × 13 cm</t>
        </is>
      </c>
      <c r="B28" s="59" t="inlineStr">
        <is>
          <t>1.000</t>
        </is>
      </c>
      <c r="C28" s="90" t="n">
        <v>0.57</v>
      </c>
      <c r="D28" s="90" t="n">
        <v>574.65</v>
      </c>
      <c r="E28" s="90" t="n">
        <v>0.48</v>
      </c>
      <c r="F28" s="90" t="n">
        <v>475.06</v>
      </c>
      <c r="G28" s="91">
        <f>D28-F28</f>
        <v/>
      </c>
      <c r="H28" s="92">
        <f>G28/D28</f>
        <v/>
      </c>
    </row>
    <row r="29">
      <c r="A29" s="89" t="inlineStr">
        <is>
          <t>Hojas A4 (contrato)</t>
        </is>
      </c>
      <c r="B29" s="59" t="inlineStr">
        <is>
          <t>5.500</t>
        </is>
      </c>
      <c r="C29" s="90" t="n">
        <v>0.2</v>
      </c>
      <c r="D29" s="90" t="n">
        <v>1107.26</v>
      </c>
      <c r="E29" s="90" t="n">
        <v>0.05</v>
      </c>
      <c r="F29" s="90" t="n">
        <v>265.31</v>
      </c>
      <c r="G29" s="91">
        <f>D29-F29</f>
        <v/>
      </c>
      <c r="H29" s="92">
        <f>G29/D29</f>
        <v/>
      </c>
    </row>
    <row r="30">
      <c r="A30" s="89" t="inlineStr">
        <is>
          <t>Tarjetas 21,5 × 10 cm (cheque)</t>
        </is>
      </c>
      <c r="B30" s="59" t="inlineStr">
        <is>
          <t>5.500</t>
        </is>
      </c>
      <c r="C30" s="90" t="n">
        <v>0.12</v>
      </c>
      <c r="D30" s="90" t="n">
        <v>671.62</v>
      </c>
      <c r="E30" s="90" t="n">
        <v>0.02</v>
      </c>
      <c r="F30" s="90" t="n">
        <v>109.78</v>
      </c>
      <c r="G30" s="91">
        <f>D30-F30</f>
        <v/>
      </c>
      <c r="H30" s="92">
        <f>G30/D30</f>
        <v/>
      </c>
    </row>
    <row r="31">
      <c r="A31" s="89" t="inlineStr">
        <is>
          <t>Bolsas de friselina, 2 colores</t>
        </is>
      </c>
      <c r="B31" s="59" t="inlineStr">
        <is>
          <t>1.000</t>
        </is>
      </c>
      <c r="C31" s="90" t="n">
        <v>1.14</v>
      </c>
      <c r="D31" s="90" t="n">
        <v>1141.91</v>
      </c>
      <c r="E31" s="90" t="n">
        <v>0.64</v>
      </c>
      <c r="F31" s="90" t="n">
        <v>644.55</v>
      </c>
      <c r="G31" s="91">
        <f>D31-F31</f>
        <v/>
      </c>
      <c r="H31" s="92">
        <f>G31/D31</f>
        <v/>
      </c>
    </row>
    <row r="32">
      <c r="A32" s="93" t="inlineStr">
        <is>
          <t>Pulseras tyvek — fuera de la comparación</t>
        </is>
      </c>
      <c r="B32" s="86" t="inlineStr">
        <is>
          <t>5.500</t>
        </is>
      </c>
      <c r="C32" s="94" t="n">
        <v>0.1</v>
      </c>
      <c r="D32" s="94" t="n">
        <v>544.55</v>
      </c>
      <c r="E32" s="94" t="n"/>
      <c r="F32" s="94" t="n"/>
      <c r="G32" s="18" t="n"/>
      <c r="H32" s="18" t="n"/>
    </row>
    <row r="33">
      <c r="A33" s="89" t="inlineStr">
        <is>
          <t>Subtotal Argentina</t>
        </is>
      </c>
      <c r="B33" s="95" t="n"/>
      <c r="C33" s="95" t="n"/>
      <c r="D33" s="19">
        <f>SUMIF($F$25:$F$32,"&lt;&gt;",D25:D32)</f>
        <v/>
      </c>
      <c r="E33" s="95" t="n"/>
      <c r="F33" s="19">
        <f>SUMIF($F$25:$F$32,"&lt;&gt;",F25:F32)</f>
        <v/>
      </c>
      <c r="G33" s="19">
        <f>SUMIF($F$25:$F$32,"&lt;&gt;",G25:G32)</f>
        <v/>
      </c>
      <c r="H33" s="96">
        <f>IFERROR(G33/D33,"")</f>
        <v/>
      </c>
    </row>
    <row r="34">
      <c r="A34" s="87" t="inlineStr">
        <is>
          <t xml:space="preserve">  URUGUAY</t>
        </is>
      </c>
    </row>
    <row r="35">
      <c r="A35" s="89" t="inlineStr">
        <is>
          <t>Mapas de niveles de consciencia</t>
        </is>
      </c>
      <c r="B35" s="59" t="inlineStr">
        <is>
          <t>3.000</t>
        </is>
      </c>
      <c r="C35" s="90" t="n">
        <v>0.254</v>
      </c>
      <c r="D35" s="90" t="n">
        <v>763</v>
      </c>
      <c r="E35" s="90" t="n">
        <v>0.089</v>
      </c>
      <c r="F35" s="90" t="n">
        <v>266.14</v>
      </c>
      <c r="G35" s="91">
        <f>D35-F35</f>
        <v/>
      </c>
      <c r="H35" s="92">
        <f>G35/D35</f>
        <v/>
      </c>
    </row>
    <row r="36">
      <c r="A36" s="89" t="inlineStr">
        <is>
          <t>Escarapelas / credenciales</t>
        </is>
      </c>
      <c r="B36" s="59" t="inlineStr">
        <is>
          <t>600</t>
        </is>
      </c>
      <c r="C36" s="90" t="n">
        <v>1.322</v>
      </c>
      <c r="D36" s="90" t="n">
        <v>793</v>
      </c>
      <c r="E36" s="90" t="n">
        <v>0.475</v>
      </c>
      <c r="F36" s="90" t="n">
        <v>285.03</v>
      </c>
      <c r="G36" s="91">
        <f>D36-F36</f>
        <v/>
      </c>
      <c r="H36" s="92">
        <f>G36/D36</f>
        <v/>
      </c>
    </row>
    <row r="37">
      <c r="A37" s="89" t="inlineStr">
        <is>
          <t>Contratos (hojas A4)</t>
        </is>
      </c>
      <c r="B37" s="59" t="inlineStr">
        <is>
          <t>3.000</t>
        </is>
      </c>
      <c r="C37" s="90" t="n">
        <v>0.153</v>
      </c>
      <c r="D37" s="90" t="n">
        <v>458</v>
      </c>
      <c r="E37" s="90" t="n">
        <v>0.048</v>
      </c>
      <c r="F37" s="90" t="n">
        <v>144.71</v>
      </c>
      <c r="G37" s="91">
        <f>D37-F37</f>
        <v/>
      </c>
      <c r="H37" s="92">
        <f>G37/D37</f>
        <v/>
      </c>
    </row>
    <row r="38">
      <c r="A38" s="89" t="inlineStr">
        <is>
          <t>Cheques (tarjetas)</t>
        </is>
      </c>
      <c r="B38" s="59" t="inlineStr">
        <is>
          <t>3.000</t>
        </is>
      </c>
      <c r="C38" s="90" t="n">
        <v>0.127</v>
      </c>
      <c r="D38" s="90" t="n">
        <v>382</v>
      </c>
      <c r="E38" s="90" t="n">
        <v>0.02</v>
      </c>
      <c r="F38" s="90" t="n">
        <v>59.88</v>
      </c>
      <c r="G38" s="91">
        <f>D38-F38</f>
        <v/>
      </c>
      <c r="H38" s="92">
        <f>G38/D38</f>
        <v/>
      </c>
    </row>
    <row r="39">
      <c r="A39" s="93" t="inlineStr">
        <is>
          <t>Cordones con mosquetón — fuera de la comparación</t>
        </is>
      </c>
      <c r="B39" s="86" t="inlineStr">
        <is>
          <t>600</t>
        </is>
      </c>
      <c r="C39" s="94" t="n">
        <v>1.5</v>
      </c>
      <c r="D39" s="94" t="n"/>
      <c r="E39" s="94" t="n"/>
      <c r="F39" s="94" t="n"/>
      <c r="G39" s="18" t="n"/>
      <c r="H39" s="18" t="n"/>
    </row>
    <row r="40">
      <c r="A40" s="89" t="inlineStr">
        <is>
          <t>Subtotal Uruguay</t>
        </is>
      </c>
      <c r="B40" s="95" t="n"/>
      <c r="C40" s="95" t="n"/>
      <c r="D40" s="19">
        <f>SUMIF($F$35:$F$39,"&lt;&gt;",D35:D39)</f>
        <v/>
      </c>
      <c r="E40" s="95" t="n"/>
      <c r="F40" s="19">
        <f>SUMIF($F$35:$F$39,"&lt;&gt;",F35:F39)</f>
        <v/>
      </c>
      <c r="G40" s="19">
        <f>SUMIF($F$35:$F$39,"&lt;&gt;",G35:G39)</f>
        <v/>
      </c>
      <c r="H40" s="96">
        <f>IFERROR(G40/D40,"")</f>
        <v/>
      </c>
    </row>
    <row r="41">
      <c r="A41" s="78" t="inlineStr">
        <is>
          <t>TOTAL DE LA CANASTA — ARGENTINA + URUGUAY</t>
        </is>
      </c>
      <c r="D41" s="79">
        <f>D33+D40</f>
        <v/>
      </c>
      <c r="F41" s="79">
        <f>F33+F40</f>
        <v/>
      </c>
      <c r="G41" s="79">
        <f>G33+G40</f>
        <v/>
      </c>
      <c r="H41" s="97">
        <f>G41/D41</f>
        <v/>
      </c>
    </row>
    <row r="42"/>
    <row r="43">
      <c r="A43" s="2" t="inlineStr">
        <is>
          <t>La gorra sola explica la mitad del ahorro: el proveedor de Cumbre la cobraba US$9,90 y Agustina la consiguió a US$1,64. Sobre 1.000 unidades son US$8.264.</t>
        </is>
      </c>
    </row>
    <row r="44">
      <c r="A44" s="2" t="inlineStr">
        <is>
          <t>Las pulseras tyvek quedan fuera de los dos lados de la cuenta porque no hay precio comparable del lado argentino.</t>
        </is>
      </c>
    </row>
    <row r="45">
      <c r="A45" s="2" t="inlineStr">
        <is>
          <t>OJO: esta canasta NO es el total del rubro merch. Los pañuelos (US$6.973) y el bordado de gorras (US$1.750) no entran en la comparación, y las cantidades</t>
        </is>
      </c>
    </row>
    <row r="46">
      <c r="A46" s="2" t="inlineStr">
        <is>
          <t>del sitio no son exactamente las de las facturas finales (remeras 100 contra 250, gorras 1.000 contra 940). Sirve para medir el ahorro por precio unitario,</t>
        </is>
      </c>
    </row>
    <row r="47">
      <c r="A47" s="2" t="inlineStr">
        <is>
          <t>no para reemplazar el costo del rubro, que sale de las nueve facturas de arriba.</t>
        </is>
      </c>
    </row>
    <row r="48">
      <c r="A48" s="2" t="inlineStr">
        <is>
          <t>Uruguay va con su propio subtotal: US$2.396,00 contra US$755,77, US$1.640,23 de ahorro. Es la misma negociación con los mismos proveedores, pero NO entra en el costo del evento de Argentina.</t>
        </is>
      </c>
    </row>
    <row r="49">
      <c r="A49" s="2" t="inlineStr">
        <is>
          <t>Los cordones con mosquetón de Uruguay quedan fuera de la cuenta por la misma razón que las pulseras tyvek: no hay precio comparable del lado argentino.</t>
        </is>
      </c>
    </row>
    <row r="50">
      <c r="A50" s="2" t="inlineStr">
        <is>
          <t>Sumando los dos países, la canasta pasa de US$18.657,12 a US$5.823,74: US$12.833,38 de ahorro, un 68,8%.</t>
        </is>
      </c>
    </row>
    <row r="51"/>
    <row r="52">
      <c r="A52" s="98" t="inlineStr">
        <is>
          <t>TRES COSAS QUE HAY QUE CONFIRMAR</t>
        </is>
      </c>
    </row>
    <row r="53" ht="30" customHeight="1">
      <c r="A53" s="4" t="inlineStr">
        <is>
          <t>1) Lanyards y gráfica de Argentina: las facturas reemitidas en agosto vienen por el TOTAL, pero la carpeta y el master dicen que ya se abonó el 50%. Si las facturas están bien, hay que pagar US$2.008 más de lo que sale por la regla del 50%. Una sola consulta a LEOTEX y a Derqui lo resuelve.</t>
        </is>
      </c>
    </row>
    <row r="54" ht="30" customHeight="1">
      <c r="A54" s="4" t="inlineStr">
        <is>
          <t>2) Pañuelos: son 8.500 unidades compartidas entre Argentina y Uruguay y la factura no las separa. Acá se imputó el 65% a Argentina (5.500 de 8.500, la misma proporción que la gráfica). Si van todos a Argentina, el costo sube US$3.755.</t>
        </is>
      </c>
    </row>
    <row r="55" ht="30" customHeight="1">
      <c r="A55" s="4" t="inlineStr">
        <is>
          <t>3) La gráfica de Uruguay (US$1.233) estaba cargada en el master como Argentina. Ya quedó fuera del costo argentino, pero conviene corregirla también en el master para que no se arrastre.</t>
        </is>
      </c>
    </row>
  </sheetData>
  <autoFilter ref="A4:O4"/>
  <mergeCells count="9">
    <mergeCell ref="A55:O55"/>
    <mergeCell ref="A16:F16"/>
    <mergeCell ref="A54:O54"/>
    <mergeCell ref="A19:F19"/>
    <mergeCell ref="A24:H24"/>
    <mergeCell ref="A17:F17"/>
    <mergeCell ref="A18:F18"/>
    <mergeCell ref="A53:O5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5" customWidth="1" min="4" max="4"/>
    <col width="56" customWidth="1" min="5" max="5"/>
  </cols>
  <sheetData>
    <row r="1">
      <c r="A1" s="1" t="inlineStr">
        <is>
          <t>Decisiones abiertas que mueven el número</t>
        </is>
      </c>
    </row>
    <row r="2">
      <c r="A2" s="2" t="inlineStr">
        <is>
          <t>Cada fila cambia el costo total. Ordenadas por cuánto pesan.</t>
        </is>
      </c>
    </row>
    <row r="3"/>
    <row r="4">
      <c r="A4" s="6" t="inlineStr">
        <is>
          <t>Decisión</t>
        </is>
      </c>
      <c r="B4" s="6" t="inlineStr">
        <is>
          <t>Opción A</t>
        </is>
      </c>
      <c r="C4" s="6" t="inlineStr">
        <is>
          <t>Opción B</t>
        </is>
      </c>
      <c r="D4" s="6" t="inlineStr">
        <is>
          <t>Diferencia</t>
        </is>
      </c>
      <c r="E4" s="6" t="inlineStr">
        <is>
          <t>Qué hay que hacer</t>
        </is>
      </c>
    </row>
    <row r="5" ht="56" customHeight="1">
      <c r="A5" s="20" t="inlineStr">
        <is>
          <t>Infraestructura de La Rural</t>
        </is>
      </c>
      <c r="B5" s="22" t="inlineStr">
        <is>
          <t>Presupuesto completo: $66.494.708 (US$43.461), con las 5.000 sillas y todo el mobiliario</t>
        </is>
      </c>
      <c r="C5" s="22" t="inlineStr">
        <is>
          <t>Sólo panelería + dirección técnica + guardias: $16.858.366 (US$11.019). El mobiliario se compra aparte.</t>
        </is>
      </c>
      <c r="D5" s="37">
        <f>(66494708.2-16858366.2)/1510</f>
        <v/>
      </c>
      <c r="E5" s="22" t="inlineStr">
        <is>
          <t>Agustina marca ítem por ítem qué se queda. La hoja INFRAESTRUCTURA tiene las 28 líneas del presupuesto para filtrar.</t>
        </is>
      </c>
    </row>
    <row r="6" ht="56" customHeight="1">
      <c r="A6" s="20" t="inlineStr">
        <is>
          <t>Montaje de las sillas</t>
        </is>
      </c>
      <c r="B6" s="22" t="inlineStr">
        <is>
          <t>La Rural con las sillas incluidas y armadas</t>
        </is>
      </c>
      <c r="C6" s="22" t="inlineStr">
        <is>
          <t>FDL Eventos + montaje/acomodación/desmontaje negociado en $900.000</t>
        </is>
      </c>
      <c r="D6" s="27" t="n"/>
      <c r="E6" s="22" t="inlineStr">
        <is>
          <t>Con FDL a $31.218.000 más $900.000 de montaje son US$20.992 contra US$27.778 de La Rural. Cerrar el número del montaje y firmar.</t>
        </is>
      </c>
    </row>
    <row r="7" ht="56" customHeight="1">
      <c r="A7" s="20" t="inlineStr">
        <is>
          <t>Catering — cerrado</t>
        </is>
      </c>
      <c r="B7" s="22" t="inlineStr">
        <is>
          <t>Grupo Ambient: US$14.569 por las dos propuestas</t>
        </is>
      </c>
      <c r="C7" s="22" t="inlineStr">
        <is>
          <t>La planilla tenía US$33.820 estimados</t>
        </is>
      </c>
      <c r="D7" s="37">
        <f>14569-33820</f>
        <v/>
      </c>
      <c r="E7" s="22" t="inlineStr">
        <is>
          <t>Cerrado: 600 desayunos VIP (no 800) + comidas para 150 personas. US$19.251 por debajo de lo presupuestado. OJO: la factura 2601021 está calculada sobre 800 desayunos; pedirle a Ángeles que la reemita por 600 antes de pagar el anticipo.</t>
        </is>
      </c>
    </row>
    <row r="8" ht="56" customHeight="1">
      <c r="A8" s="20" t="inlineStr">
        <is>
          <t>Rubros nuevos sin cotizar</t>
        </is>
      </c>
      <c r="B8" s="22" t="inlineStr">
        <is>
          <t>Ecobaños, marquetería de certificaciones y premios, replanteo de sillas con ingeniero</t>
        </is>
      </c>
      <c r="C8" s="22" t="inlineStr">
        <is>
          <t>Hoy entran en US$0</t>
        </is>
      </c>
      <c r="D8" s="27" t="n"/>
      <c r="E8" s="22" t="inlineStr">
        <is>
          <t>Pedir las tres cotizaciones esta semana. Son los últimos huecos que quedan además de vuelos y alojamiento.</t>
        </is>
      </c>
    </row>
    <row r="9" ht="56" customHeight="1">
      <c r="A9" s="20" t="inlineStr">
        <is>
          <t>Merch — el 50% que falta pagar</t>
        </is>
      </c>
      <c r="B9" s="22" t="inlineStr">
        <is>
          <t>Regla del 50%: quedan US$9.941 por transferir en USDT</t>
        </is>
      </c>
      <c r="C9" s="22" t="inlineStr">
        <is>
          <t>Según las facturas reemitidas en agosto: US$11.949</t>
        </is>
      </c>
      <c r="D9" s="37">
        <f>11949.25-9940.79</f>
        <v/>
      </c>
      <c r="E9" s="22" t="inlineStr">
        <is>
          <t>Las facturas de LEOTEX (lanyards) y Derqui (gráfica ARG) vienen por el total aunque ya se abonó el 50%. Una consulta a cada proveedor cierra la diferencia. Lo urgente igual son las remeras (US$2.781) y el bordado de gorras (US$1.722): esos no tienen nada pagado.</t>
        </is>
      </c>
    </row>
    <row r="10" ht="56" customHeight="1">
      <c r="A10" s="20" t="inlineStr">
        <is>
          <t>Merch — cómo se reparten los pañuelos con Uruguay</t>
        </is>
      </c>
      <c r="B10" s="22" t="inlineStr">
        <is>
          <t>Los 8.500 pañuelos se imputan 65% a Argentina (US$6.973)</t>
        </is>
      </c>
      <c r="C10" s="22" t="inlineStr">
        <is>
          <t>Si van todos a Argentina: US$10.728</t>
        </is>
      </c>
      <c r="D10" s="37">
        <f>0.35*13387500*1.21/1510</f>
        <v/>
      </c>
      <c r="E10" s="22" t="inlineStr">
        <is>
          <t>La factura no separa las unidades por país. Definir el reparto con Uruguay antes de cerrar el número para el CEO.</t>
        </is>
      </c>
    </row>
    <row r="11" ht="56" customHeight="1">
      <c r="A11" s="20" t="inlineStr">
        <is>
          <t>Vuelos y alojamiento del equipo</t>
        </is>
      </c>
      <c r="B11" s="22" t="inlineStr">
        <is>
          <t>Sin cotizar</t>
        </is>
      </c>
      <c r="C11" s="22" t="inlineStr">
        <is>
          <t>Sin cotizar</t>
        </is>
      </c>
      <c r="D11" s="27" t="n"/>
      <c r="E11" s="22" t="inlineStr">
        <is>
          <t>No hay ni un mail ni una línea en el sheet. Con 8 personas de equipo interno, es el hueco más grande que queda.</t>
        </is>
      </c>
    </row>
    <row r="12" ht="56" customHeight="1">
      <c r="A12" s="20" t="inlineStr">
        <is>
          <t>Facturación al exterior</t>
        </is>
      </c>
      <c r="B12" s="22" t="inlineStr">
        <is>
          <t>FDL Eventos y Vittal no confirmaron si pueden facturar a la empresa de EE.UU.</t>
        </is>
      </c>
      <c r="C12" s="22" t="inlineStr">
        <is>
          <t>Buscar proveedores que sí facturen, o resolver un circuito de pago local</t>
        </is>
      </c>
      <c r="D12" s="27" t="n"/>
      <c r="E12" s="22" t="inlineStr">
        <is>
          <t>Resolverlo antes de firmar: puede trabar los dos contratos.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2026-09-04T00:57:13Z</dcterms:created>
  <dcterms:modified xsi:type="dcterms:W3CDTF">2026-09-04T00:57:14Z</dcterms:modified>
</cp:coreProperties>
</file>