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TABLERO" sheetId="2" state="visible" r:id="rId2"/>
    <sheet name="CALENDARIO UNIFICADO" sheetId="3" state="visible" r:id="rId3"/>
    <sheet name="PAGOS REALIZADOS" sheetId="4" state="visible" r:id="rId4"/>
    <sheet name="CONTRATOS" sheetId="5" state="visible" r:id="rId5"/>
    <sheet name="EVENTOS" sheetId="6" state="visible" r:id="rId6"/>
    <sheet name="HALLAZGOS" sheetId="7" state="visible" r:id="rId7"/>
    <sheet name="GASTOS EQUIPO" sheetId="8" state="visible" r:id="rId8"/>
  </sheets>
  <definedNames>
    <definedName name="_xlnm._FilterDatabase" localSheetId="2" hidden="1">'CALENDARIO UNIFICADO'!$A$4:$J$4</definedName>
    <definedName name="_xlnm._FilterDatabase" localSheetId="3" hidden="1">'PAGOS REALIZADOS'!$A$4:$G$4</definedName>
    <definedName name="_xlnm._FilterDatabase" localSheetId="4" hidden="1">'CONTRATOS'!$A$4:$K$4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$#,##0.00;($#,##0.00);-"/>
    <numFmt numFmtId="167" formatCode="$#,##0;($#,##0);-"/>
    <numFmt numFmtId="168" formatCode="0.0%"/>
    <numFmt numFmtId="169" formatCode="0.00000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FFFFFF"/>
      <sz val="12"/>
    </font>
    <font>
      <name val="Arial"/>
      <b val="1"/>
      <color rgb="001F3864"/>
      <sz val="9"/>
    </font>
    <font>
      <name val="Arial"/>
      <b val="1"/>
      <sz val="11"/>
    </font>
    <font>
      <name val="Arial"/>
      <b val="1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AECEE"/>
      </patternFill>
    </fill>
    <fill>
      <patternFill patternType="solid">
        <fgColor rgb="00DCE6F1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C9A84C"/>
      </top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165" fontId="6" fillId="3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6" fillId="0" borderId="1" pivotButton="0" quotePrefix="0" xfId="0"/>
    <xf numFmtId="166" fontId="5" fillId="0" borderId="1" pivotButton="0" quotePrefix="0" xfId="0"/>
    <xf numFmtId="0" fontId="6" fillId="0" borderId="1" pivotButton="0" quotePrefix="0" xfId="0"/>
    <xf numFmtId="0" fontId="5" fillId="4" borderId="1" pivotButton="0" quotePrefix="0" xfId="0"/>
    <xf numFmtId="166" fontId="6" fillId="5" borderId="1" pivotButton="0" quotePrefix="0" xfId="0"/>
    <xf numFmtId="0" fontId="5" fillId="5" borderId="1" pivotButton="0" quotePrefix="0" xfId="0"/>
    <xf numFmtId="0" fontId="4" fillId="6" borderId="1" pivotButton="0" quotePrefix="0" xfId="0"/>
    <xf numFmtId="166" fontId="4" fillId="6" borderId="1" pivotButton="0" quotePrefix="0" xfId="0"/>
    <xf numFmtId="166" fontId="8" fillId="0" borderId="0" pivotButton="0" quotePrefix="0" xfId="0"/>
    <xf numFmtId="0" fontId="9" fillId="2" borderId="0" applyAlignment="1" pivotButton="0" quotePrefix="0" xfId="0">
      <alignment vertical="center" indent="1"/>
    </xf>
    <xf numFmtId="0" fontId="10" fillId="7" borderId="2" applyAlignment="1" pivotButton="0" quotePrefix="0" xfId="0">
      <alignment vertical="center"/>
    </xf>
    <xf numFmtId="0" fontId="0" fillId="7" borderId="2" pivotButton="0" quotePrefix="0" xfId="0"/>
    <xf numFmtId="0" fontId="2" fillId="0" borderId="1" pivotButton="0" quotePrefix="0" xfId="0"/>
    <xf numFmtId="165" fontId="6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0" fontId="2" fillId="6" borderId="1" pivotButton="0" quotePrefix="0" xfId="0"/>
    <xf numFmtId="0" fontId="2" fillId="5" borderId="1" pivotButton="0" quotePrefix="0" xfId="0"/>
    <xf numFmtId="165" fontId="6" fillId="5" borderId="1" pivotButton="0" quotePrefix="0" xfId="0"/>
    <xf numFmtId="0" fontId="6" fillId="5" borderId="1" pivotButton="0" quotePrefix="0" xfId="0"/>
    <xf numFmtId="0" fontId="2" fillId="4" borderId="1" pivotButton="0" quotePrefix="0" xfId="0"/>
    <xf numFmtId="165" fontId="6" fillId="4" borderId="1" pivotButton="0" quotePrefix="0" xfId="0"/>
    <xf numFmtId="0" fontId="6" fillId="4" borderId="1" pivotButton="0" quotePrefix="0" xfId="0"/>
    <xf numFmtId="166" fontId="6" fillId="4" borderId="1" pivotButton="0" quotePrefix="0" xfId="0"/>
    <xf numFmtId="0" fontId="11" fillId="6" borderId="1" applyAlignment="1" pivotButton="0" quotePrefix="0" xfId="0">
      <alignment vertical="center" indent="1"/>
    </xf>
    <xf numFmtId="0" fontId="0" fillId="6" borderId="1" applyAlignment="1" pivotButton="0" quotePrefix="0" xfId="0">
      <alignment vertical="center" indent="1"/>
    </xf>
    <xf numFmtId="167" fontId="12" fillId="6" borderId="1" applyAlignment="1" pivotButton="0" quotePrefix="0" xfId="0">
      <alignment vertical="center" indent="1"/>
    </xf>
    <xf numFmtId="0" fontId="11" fillId="8" borderId="1" applyAlignment="1" pivotButton="0" quotePrefix="0" xfId="0">
      <alignment vertical="center" indent="1"/>
    </xf>
    <xf numFmtId="0" fontId="0" fillId="8" borderId="1" applyAlignment="1" pivotButton="0" quotePrefix="0" xfId="0">
      <alignment vertical="center" indent="1"/>
    </xf>
    <xf numFmtId="167" fontId="12" fillId="8" borderId="1" applyAlignment="1" pivotButton="0" quotePrefix="0" xfId="0">
      <alignment vertical="center" indent="1"/>
    </xf>
    <xf numFmtId="0" fontId="11" fillId="4" borderId="1" applyAlignment="1" pivotButton="0" quotePrefix="0" xfId="0">
      <alignment vertical="center" indent="1"/>
    </xf>
    <xf numFmtId="0" fontId="0" fillId="4" borderId="1" applyAlignment="1" pivotButton="0" quotePrefix="0" xfId="0">
      <alignment vertical="center" indent="1"/>
    </xf>
    <xf numFmtId="167" fontId="12" fillId="4" borderId="1" applyAlignment="1" pivotButton="0" quotePrefix="0" xfId="0">
      <alignment vertical="center" indent="1"/>
    </xf>
    <xf numFmtId="0" fontId="11" fillId="5" borderId="1" applyAlignment="1" pivotButton="0" quotePrefix="0" xfId="0">
      <alignment vertical="center" indent="1"/>
    </xf>
    <xf numFmtId="0" fontId="0" fillId="5" borderId="1" applyAlignment="1" pivotButton="0" quotePrefix="0" xfId="0">
      <alignment vertical="center" indent="1"/>
    </xf>
    <xf numFmtId="167" fontId="12" fillId="5" borderId="1" applyAlignment="1" pivotButton="0" quotePrefix="0" xfId="0">
      <alignment vertical="center" indent="1"/>
    </xf>
    <xf numFmtId="168" fontId="6" fillId="0" borderId="1" pivotButton="0" quotePrefix="0" xfId="0"/>
    <xf numFmtId="4" fontId="6" fillId="0" borderId="1" pivotButton="0" quotePrefix="0" xfId="0"/>
    <xf numFmtId="169" fontId="6" fillId="0" borderId="1" pivotButton="0" quotePrefix="0" xfId="0"/>
    <xf numFmtId="166" fontId="4" fillId="6" borderId="0" pivotButton="0" quotePrefix="0" xfId="0"/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3" borderId="0" pivotButton="0" quotePrefix="0" xfId="0"/>
    <xf numFmtId="166" fontId="6" fillId="3" borderId="0" pivotButton="0" quotePrefix="0" xfId="0"/>
    <xf numFmtId="166" fontId="5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B03A2E"/>
      </font>
      <fill>
        <patternFill>
          <bgColor rgb="00FADBD8"/>
        </patternFill>
      </fill>
    </dxf>
    <dxf>
      <font>
        <b val="1"/>
        <color rgb="007D6608"/>
      </font>
      <fill>
        <patternFill>
          <bgColor rgb="00FCF3CF"/>
        </patternFill>
      </fill>
    </dxf>
    <dxf>
      <font>
        <b val="1"/>
        <color rgb="00196F3D"/>
      </font>
      <fill>
        <patternFill>
          <bgColor rgb="00D5F5E3"/>
        </patternFill>
      </fill>
    </dxf>
    <dxf>
      <font>
        <b val="1"/>
        <color rgb="00566573"/>
      </font>
      <fill>
        <patternFill>
          <bgColor rgb="00F2F4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34" customHeight="1">
      <c r="A1" s="1" t="inlineStr">
        <is>
          <t>CUMBRE 2026 · Consolidado de gastos y pagos</t>
        </is>
      </c>
      <c r="B1" s="2" t="n"/>
    </row>
    <row r="2" ht="18" customHeight="1">
      <c r="A2" s="3" t="inlineStr">
        <is>
          <t>Unifica "Cronograma_Pagos_Cumbre.xlsx" y "INVERSIÓN GIRA CUMBRE 2026.xlsx" en una sola fuente de verdad.</t>
        </is>
      </c>
    </row>
    <row r="4" ht="28" customHeight="1">
      <c r="A4" s="4" t="inlineStr">
        <is>
          <t>Fecha de corte</t>
        </is>
      </c>
      <c r="B4" s="5" t="inlineStr">
        <is>
          <t>Todo el análisis está calculado al 02/09/2026 (celda B2 de la hoja TABLERO). Cambiala y se recalcula todo.</t>
        </is>
      </c>
    </row>
    <row r="5" ht="28" customHeight="1">
      <c r="A5" s="4" t="inlineStr">
        <is>
          <t>Fuente 1 · CRONOGRAMA</t>
        </is>
      </c>
      <c r="B5" s="5" t="inlineStr">
        <is>
          <t>Cronograma_Pagos_Cumbre (1).xlsx — Google Drive id 1MbTsbcMKau4WA4V2-0PM7EtJv2w4XA5P. Aporta el calendario de cuotas y el histórico de pagos.</t>
        </is>
      </c>
    </row>
    <row r="6" ht="28" customHeight="1">
      <c r="A6" s="4" t="inlineStr">
        <is>
          <t>Fuente 2 · MASTER</t>
        </is>
      </c>
      <c r="B6" s="5" t="inlineStr">
        <is>
          <t>INVERSIÓN GIRA CUMBRE 2026.xlsx — Google Drive id 1rRjt9YDSJKZR23nFlHJrAOf9CENc3CL2. Aporta contratos/reservas y el presupuesto línea por línea de cada evento.</t>
        </is>
      </c>
    </row>
    <row r="7" ht="8" customHeight="1">
      <c r="A7" s="6" t="inlineStr"/>
      <c r="B7" s="5" t="inlineStr"/>
    </row>
    <row r="8" ht="28" customHeight="1">
      <c r="A8" s="4" t="inlineStr">
        <is>
          <t>Cómo leer los colores</t>
        </is>
      </c>
      <c r="B8" s="5" t="inlineStr">
        <is>
          <t>Azul = dato cargado a mano (editable). Negro = fórmula. Verde = link a otra hoja de este libro. Relleno amarillo = requiere decisión tuya.</t>
        </is>
      </c>
    </row>
    <row r="9" ht="28" customHeight="1">
      <c r="A9" s="4" t="inlineStr">
        <is>
          <t>Rojo / Ámbar / Verde</t>
        </is>
      </c>
      <c r="B9" s="5" t="inlineStr">
        <is>
          <t>Rojo = vencido o contradicción entre fuentes. Ámbar = vence dentro de 30 días o dato dudoso. Verde = conciliado.</t>
        </is>
      </c>
    </row>
    <row r="10" ht="8" customHeight="1">
      <c r="A10" s="6" t="inlineStr"/>
      <c r="B10" s="5" t="inlineStr"/>
    </row>
    <row r="11" ht="28" customHeight="1">
      <c r="A11" s="4" t="inlineStr">
        <is>
          <t>Supuesto de tipo de cambio</t>
        </is>
      </c>
      <c r="B11" s="5" t="inlineStr">
        <is>
          <t>Las hojas por evento del MASTER están en moneda local con tasas inconsistentes. Ver hoja EVENTOS, columna "Nota FX": ahí está la tasa que se usó para cada conversión y por qué.</t>
        </is>
      </c>
    </row>
    <row r="12" ht="28" customHeight="1">
      <c r="A12" s="4" t="inlineStr">
        <is>
          <t>Supuesto de no duplicación</t>
        </is>
      </c>
      <c r="B12" s="5" t="inlineStr">
        <is>
          <t>CALENDARIO UNIFICADO (cuotas futuras y pagadas) y PAGOS REALIZADOS (histórico) son conjuntos disjuntos: el histórico termina el 03/07/2026 y el calendario empieza el 10/07/2026. Sumarlos NO duplica.</t>
        </is>
      </c>
    </row>
    <row r="13" ht="28" customHeight="1">
      <c r="A13" s="4" t="inlineStr">
        <is>
          <t>Orden de las hojas de datos</t>
        </is>
      </c>
      <c r="B13" s="5" t="inlineStr">
        <is>
          <t>CALENDARIO UNIFICADO, PAGOS REALIZADOS y CONTRATOS están agrupados por país en orden de gira (Ecuador → España) y, dentro de cada país, por bloque: Lugar, Salas MM, Técnica, Producción, Dinámica, Merch, Catering, Trámites, Equipo. Cada país cierra con su subtotal.</t>
        </is>
      </c>
    </row>
    <row r="14" ht="28" customHeight="1">
      <c r="A14" s="4" t="inlineStr">
        <is>
          <t>Cómo reordenar</t>
        </is>
      </c>
      <c r="B14" s="5" t="inlineStr">
        <is>
          <t>Las columnas País y Bloque están repetidas en cada fila de detalle y el filtro está activo en la fila de encabezado: podés filtrar por bloque para ver, por ejemplo, todos los pagos de Lugar de la gira. Las bandas azules son títulos, no datos: si ordenás la tabla se mezclan, mejor usá el filtro.</t>
        </is>
      </c>
    </row>
    <row r="15" ht="8" customHeight="1">
      <c r="A15" s="6" t="inlineStr"/>
      <c r="B15" s="5" t="inlineStr"/>
    </row>
    <row r="16" ht="28" customHeight="1">
      <c r="A16" s="4" t="inlineStr">
        <is>
          <t>Advertencia importante</t>
        </is>
      </c>
      <c r="B16" s="5" t="inlineStr">
        <is>
          <t>El presupuesto de la hoja EVENTOS ($1.087.979) y el calendario de pagos ($417.765) NO son comparables: el primero es el costo total de producción de cada evento, el segundo sólo los contratos con anticipo/saldo. No los sumes.</t>
        </is>
      </c>
    </row>
    <row r="17" ht="8" customHeight="1">
      <c r="A17" s="6" t="inlineStr"/>
      <c r="B17" s="5" t="inlineStr"/>
    </row>
    <row r="18" ht="28" customHeight="1">
      <c r="A18" s="4" t="inlineStr">
        <is>
          <t>Qué falta cargar</t>
        </is>
      </c>
      <c r="B18" s="5" t="inlineStr">
        <is>
          <t>Colombia 2da no tiene hoja de presupuesto en el MASTER. Perú, España y Colombia 2da no tienen ninguna cuota cargada en el calendario.</t>
        </is>
      </c>
    </row>
    <row r="19" ht="28" customHeight="1">
      <c r="A19" s="4" t="inlineStr">
        <is>
          <t>Gastos de equipo en país</t>
        </is>
      </c>
      <c r="B19" s="5" t="inlineStr">
        <is>
          <t>La hoja GASTOS EQUIPO está vacía a propósito: es el destino de lo que cargue el agente de WhatsApp. Hoy esos gastos no viven en ninguno de los dos archivos originales.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  <col width="15" customWidth="1" min="6" max="6"/>
    <col width="14" customWidth="1" min="7" max="7"/>
    <col width="15" customWidth="1" min="8" max="8"/>
    <col width="26" customWidth="1" min="9" max="9"/>
    <col width="34" customWidth="1" min="10" max="10"/>
  </cols>
  <sheetData>
    <row r="1" ht="34" customHeight="1">
      <c r="A1" s="1" t="inlineStr">
        <is>
          <t>Tablero por país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Presupuesto vs pagado vs pendiente. La columna "Brecha" mide cuánto se contradicen las dos fuentes.</t>
        </is>
      </c>
      <c r="E2" s="4" t="inlineStr">
        <is>
          <t>Fecha de corte →</t>
        </is>
      </c>
      <c r="G2" s="7" t="n">
        <v>46267</v>
      </c>
    </row>
    <row r="4" ht="30" customHeight="1">
      <c r="A4" s="8" t="inlineStr">
        <is>
          <t>País</t>
        </is>
      </c>
      <c r="B4" s="8" t="inlineStr">
        <is>
          <t>Presupuesto evento
(MASTER, USD)</t>
        </is>
      </c>
      <c r="C4" s="8" t="inlineStr">
        <is>
          <t>Pagado según
hoja del evento</t>
        </is>
      </c>
      <c r="D4" s="8" t="inlineStr">
        <is>
          <t>Pagado según
CRONOGRAMA</t>
        </is>
      </c>
      <c r="E4" s="8" t="inlineStr">
        <is>
          <t>Brecha entre
fuentes</t>
        </is>
      </c>
      <c r="F4" s="8" t="inlineStr">
        <is>
          <t>Programado
(pendiente)</t>
        </is>
      </c>
      <c r="G4" s="8" t="inlineStr">
        <is>
          <t>VENCIDO
al corte</t>
        </is>
      </c>
      <c r="H4" s="8" t="inlineStr">
        <is>
          <t>Fecha evento
CRONOGRAMA</t>
        </is>
      </c>
      <c r="I4" s="8" t="inlineStr">
        <is>
          <t>Fecha evento
MASTER</t>
        </is>
      </c>
      <c r="J4" s="8" t="inlineStr">
        <is>
          <t>Estado</t>
        </is>
      </c>
    </row>
    <row r="5">
      <c r="A5" s="9" t="inlineStr">
        <is>
          <t>Ecuador</t>
        </is>
      </c>
      <c r="B5" s="10" t="n">
        <v>80279.73</v>
      </c>
      <c r="C5" s="10" t="n">
        <v>73773.64999999999</v>
      </c>
      <c r="D5" s="10" t="n">
        <v>34991</v>
      </c>
      <c r="E5" s="11">
        <f>IFERROR(D5-C5,"")</f>
        <v/>
      </c>
      <c r="F5" s="10" t="n"/>
      <c r="G5" s="10" t="n"/>
      <c r="H5" s="12" t="inlineStr">
        <is>
          <t>25/07/2026</t>
        </is>
      </c>
      <c r="I5" s="12" t="inlineStr">
        <is>
          <t>Quito, Ecuador Sabado 25/07/2026 Domingo 26/07/2026</t>
        </is>
      </c>
      <c r="J5" s="13" t="inlineStr">
        <is>
          <t>fuentes no cierran</t>
        </is>
      </c>
    </row>
    <row r="6">
      <c r="A6" s="9" t="inlineStr">
        <is>
          <t>Panamá</t>
        </is>
      </c>
      <c r="B6" s="10" t="n">
        <v>71839.07000000001</v>
      </c>
      <c r="C6" s="10" t="n">
        <v>71372</v>
      </c>
      <c r="D6" s="10" t="n">
        <v>62012.6</v>
      </c>
      <c r="E6" s="11">
        <f>IFERROR(D6-C6,"")</f>
        <v/>
      </c>
      <c r="F6" s="10" t="n"/>
      <c r="G6" s="10" t="n"/>
      <c r="H6" s="12" t="inlineStr">
        <is>
          <t>08/08/2026</t>
        </is>
      </c>
      <c r="I6" s="12" t="inlineStr">
        <is>
          <t>Panama City, Panama -Sabado 09/08/2026 Domingo 10/08/2026</t>
        </is>
      </c>
      <c r="J6" s="13" t="inlineStr">
        <is>
          <t>fuentes no cierran</t>
        </is>
      </c>
    </row>
    <row r="7">
      <c r="A7" s="9" t="inlineStr">
        <is>
          <t>Rep. Dominicana</t>
        </is>
      </c>
      <c r="B7" s="10" t="n">
        <v>68110.94</v>
      </c>
      <c r="C7" s="10" t="n">
        <v>68110.94</v>
      </c>
      <c r="D7" s="10" t="n">
        <v>50740</v>
      </c>
      <c r="E7" s="11">
        <f>IFERROR(D7-C7,"")</f>
        <v/>
      </c>
      <c r="F7" s="10" t="n"/>
      <c r="G7" s="10" t="n"/>
      <c r="H7" s="12" t="inlineStr">
        <is>
          <t>15/08/2026</t>
        </is>
      </c>
      <c r="I7" s="12" t="inlineStr">
        <is>
          <t>Santo Domingo, Republica Dominicana -Sabado 15/08/2026 Domingo 16/08/2026</t>
        </is>
      </c>
      <c r="J7" s="13" t="inlineStr">
        <is>
          <t>fuentes no cierran</t>
        </is>
      </c>
    </row>
    <row r="8">
      <c r="A8" s="9" t="inlineStr">
        <is>
          <t>Colombia</t>
        </is>
      </c>
      <c r="B8" s="10" t="n">
        <v>129377.17</v>
      </c>
      <c r="C8" s="10" t="n"/>
      <c r="D8" s="10" t="n">
        <v>86480</v>
      </c>
      <c r="E8" s="11">
        <f>IFERROR(D8-C8,"")</f>
        <v/>
      </c>
      <c r="F8" s="10" t="n">
        <v>1522</v>
      </c>
      <c r="G8" s="14" t="n">
        <v>1522</v>
      </c>
      <c r="H8" s="12" t="inlineStr">
        <is>
          <t>29/08/2026</t>
        </is>
      </c>
      <c r="I8" s="12" t="inlineStr">
        <is>
          <t>Medellin, Colombia -Sabado 26/09/2026 Domingo 27/09/2026</t>
        </is>
      </c>
      <c r="J8" s="15" t="inlineStr">
        <is>
          <t>VENCIDO · fuentes no cierran</t>
        </is>
      </c>
    </row>
    <row r="9">
      <c r="A9" s="9" t="inlineStr">
        <is>
          <t>México</t>
        </is>
      </c>
      <c r="B9" s="10" t="n">
        <v>47415.59</v>
      </c>
      <c r="C9" s="10" t="n">
        <v>18916.82</v>
      </c>
      <c r="D9" s="10" t="n">
        <v>11145</v>
      </c>
      <c r="E9" s="11">
        <f>IFERROR(D9-C9,"")</f>
        <v/>
      </c>
      <c r="F9" s="10" t="n">
        <v>26785</v>
      </c>
      <c r="G9" s="14" t="n">
        <v>26785</v>
      </c>
      <c r="H9" s="12" t="inlineStr">
        <is>
          <t>05/09/2026</t>
        </is>
      </c>
      <c r="I9" s="12" t="inlineStr">
        <is>
          <t>CDMX, Mexico -Sabado 1/11/2026 Domingo 2/11/2026</t>
        </is>
      </c>
      <c r="J9" s="15" t="inlineStr">
        <is>
          <t>VENCIDO · fuentes no cierran</t>
        </is>
      </c>
    </row>
    <row r="10">
      <c r="A10" s="9" t="inlineStr">
        <is>
          <t>Chile</t>
        </is>
      </c>
      <c r="B10" s="10" t="n">
        <v>148642.4</v>
      </c>
      <c r="C10" s="10" t="n">
        <v>3.48</v>
      </c>
      <c r="D10" s="10" t="n">
        <v>19693</v>
      </c>
      <c r="E10" s="11">
        <f>IFERROR(D10-C10,"")</f>
        <v/>
      </c>
      <c r="F10" s="10" t="n">
        <v>45948</v>
      </c>
      <c r="G10" s="14" t="n">
        <v>22974</v>
      </c>
      <c r="H10" s="12" t="inlineStr">
        <is>
          <t>12/09/2026</t>
        </is>
      </c>
      <c r="I10" s="12" t="inlineStr">
        <is>
          <t>Chile -Sabado 12/09/2026 Domingo 13/09/2026</t>
        </is>
      </c>
      <c r="J10" s="15" t="inlineStr">
        <is>
          <t>VENCIDO · fuentes no cierran</t>
        </is>
      </c>
    </row>
    <row r="11">
      <c r="A11" s="9" t="inlineStr">
        <is>
          <t>Uruguay</t>
        </is>
      </c>
      <c r="B11" s="10" t="n">
        <v>88265.08</v>
      </c>
      <c r="C11" s="10" t="n"/>
      <c r="D11" s="10" t="n">
        <v>1000</v>
      </c>
      <c r="E11" s="11">
        <f>IFERROR(D11-C11,"")</f>
        <v/>
      </c>
      <c r="F11" s="10" t="n">
        <v>60612</v>
      </c>
      <c r="G11" s="14" t="n">
        <v>30306</v>
      </c>
      <c r="H11" s="12" t="inlineStr">
        <is>
          <t>19/09/2026</t>
        </is>
      </c>
      <c r="I11" s="12" t="inlineStr">
        <is>
          <t>Punta del Este, Uruguay -Sabado 19/09/2026 Domingo 20/09/2026</t>
        </is>
      </c>
      <c r="J11" s="15" t="inlineStr">
        <is>
          <t>VENCIDO · fuentes no cierran</t>
        </is>
      </c>
    </row>
    <row r="12">
      <c r="A12" s="9" t="inlineStr">
        <is>
          <t>Argentina</t>
        </is>
      </c>
      <c r="B12" s="10" t="n">
        <v>176159</v>
      </c>
      <c r="C12" s="10" t="n"/>
      <c r="D12" s="10" t="n">
        <v>53494</v>
      </c>
      <c r="E12" s="11">
        <f>IFERROR(D12-C12,"")</f>
        <v/>
      </c>
      <c r="F12" s="10" t="n">
        <v>40336</v>
      </c>
      <c r="G12" s="14" t="n">
        <v>16057</v>
      </c>
      <c r="H12" s="12" t="inlineStr">
        <is>
          <t>03/10/2026</t>
        </is>
      </c>
      <c r="I12" s="12" t="inlineStr">
        <is>
          <t>Buenos Aires, Argentina -Sabado 3/010/2026 Domingo 4/10/2026</t>
        </is>
      </c>
      <c r="J12" s="15" t="inlineStr">
        <is>
          <t>VENCIDO · fuentes no cierran</t>
        </is>
      </c>
    </row>
    <row r="13">
      <c r="A13" s="9" t="inlineStr">
        <is>
          <t>Salvador</t>
        </is>
      </c>
      <c r="B13" s="10" t="n">
        <v>61904.28</v>
      </c>
      <c r="C13" s="10" t="n"/>
      <c r="D13" s="10" t="n">
        <v>7376</v>
      </c>
      <c r="E13" s="11">
        <f>IFERROR(D13-C13,"")</f>
        <v/>
      </c>
      <c r="F13" s="10" t="n">
        <v>17213</v>
      </c>
      <c r="G13" s="14" t="n">
        <v>8606.5</v>
      </c>
      <c r="H13" s="12" t="inlineStr">
        <is>
          <t>10/10/2026</t>
        </is>
      </c>
      <c r="I13" s="12" t="inlineStr">
        <is>
          <t>San Salvador, Salvador -Sabado 07/11/2026 Domingo 08/11/2026</t>
        </is>
      </c>
      <c r="J13" s="15" t="inlineStr">
        <is>
          <t>VENCIDO · fuentes no cierran</t>
        </is>
      </c>
    </row>
    <row r="14">
      <c r="A14" s="9" t="inlineStr">
        <is>
          <t>Colombia 2da</t>
        </is>
      </c>
      <c r="B14" s="10" t="n"/>
      <c r="C14" s="10" t="n"/>
      <c r="D14" s="10" t="n"/>
      <c r="E14" s="11">
        <f>IFERROR(D14-C14,"")</f>
        <v/>
      </c>
      <c r="F14" s="10" t="n"/>
      <c r="G14" s="10" t="n"/>
      <c r="H14" s="12" t="inlineStr">
        <is>
          <t>31/10/2026</t>
        </is>
      </c>
      <c r="I14" s="12" t="inlineStr">
        <is>
          <t>sin hoja en el MASTER</t>
        </is>
      </c>
      <c r="J14" s="13" t="inlineStr">
        <is>
          <t>sin presupuesto cargado · sin pagos en el calendario</t>
        </is>
      </c>
    </row>
    <row r="15">
      <c r="A15" s="9" t="inlineStr">
        <is>
          <t>Costa Rica</t>
        </is>
      </c>
      <c r="B15" s="10" t="n">
        <v>77920.25</v>
      </c>
      <c r="C15" s="10" t="n"/>
      <c r="D15" s="10" t="n">
        <v>32494</v>
      </c>
      <c r="E15" s="11">
        <f>IFERROR(D15-C15,"")</f>
        <v/>
      </c>
      <c r="F15" s="10" t="n">
        <v>32495</v>
      </c>
      <c r="G15" s="10" t="n"/>
      <c r="H15" s="12" t="inlineStr">
        <is>
          <t>07/11/2026</t>
        </is>
      </c>
      <c r="I15" s="12" t="inlineStr">
        <is>
          <t>San José, Costa Rica -Sabado 01/08/2026 Domingo 02/08/2026</t>
        </is>
      </c>
      <c r="J15" s="13" t="inlineStr">
        <is>
          <t>fuentes no cierran</t>
        </is>
      </c>
    </row>
    <row r="16">
      <c r="A16" s="9" t="inlineStr">
        <is>
          <t>Perú</t>
        </is>
      </c>
      <c r="B16" s="10" t="n">
        <v>51504.27</v>
      </c>
      <c r="C16" s="10" t="n"/>
      <c r="D16" s="10" t="n"/>
      <c r="E16" s="11">
        <f>IFERROR(D16-C16,"")</f>
        <v/>
      </c>
      <c r="F16" s="10" t="n"/>
      <c r="G16" s="10" t="n"/>
      <c r="H16" s="12" t="inlineStr">
        <is>
          <t>14/11/2026</t>
        </is>
      </c>
      <c r="I16" s="12" t="inlineStr">
        <is>
          <t>Lima, Perú -Sabado //2026 Domingo //2026</t>
        </is>
      </c>
      <c r="J16" s="13" t="inlineStr">
        <is>
          <t>sin pagos en el calendario</t>
        </is>
      </c>
    </row>
    <row r="17">
      <c r="A17" s="9" t="inlineStr">
        <is>
          <t>Guatemala</t>
        </is>
      </c>
      <c r="B17" s="10" t="n">
        <v>35333.97</v>
      </c>
      <c r="C17" s="10" t="n"/>
      <c r="D17" s="10" t="n">
        <v>2000</v>
      </c>
      <c r="E17" s="11">
        <f>IFERROR(D17-C17,"")</f>
        <v/>
      </c>
      <c r="F17" s="10" t="n">
        <v>4000</v>
      </c>
      <c r="G17" s="10" t="n"/>
      <c r="H17" s="12" t="inlineStr">
        <is>
          <t>21/11/2026</t>
        </is>
      </c>
      <c r="I17" s="12" t="inlineStr">
        <is>
          <t>Ciudad de Guatemala, Guatemana-Sabado 14/11/2026 Domingo 15/11/2026</t>
        </is>
      </c>
      <c r="J17" s="13" t="inlineStr">
        <is>
          <t>fuentes no cierran</t>
        </is>
      </c>
    </row>
    <row r="18">
      <c r="A18" s="9" t="inlineStr">
        <is>
          <t>España</t>
        </is>
      </c>
      <c r="B18" s="10" t="n">
        <v>51227.61</v>
      </c>
      <c r="C18" s="10" t="n"/>
      <c r="D18" s="10" t="n"/>
      <c r="E18" s="11">
        <f>IFERROR(D18-C18,"")</f>
        <v/>
      </c>
      <c r="F18" s="10" t="n"/>
      <c r="G18" s="10" t="n"/>
      <c r="H18" s="12" t="inlineStr">
        <is>
          <t>28/11/2026</t>
        </is>
      </c>
      <c r="I18" s="12" t="inlineStr">
        <is>
          <t>Madrid, España -Sabado 28/11/2026 Domingo 29/11/2026</t>
        </is>
      </c>
      <c r="J18" s="13" t="inlineStr">
        <is>
          <t>sin pagos en el calendario</t>
        </is>
      </c>
    </row>
    <row r="19">
      <c r="A19" s="16" t="inlineStr">
        <is>
          <t>TOTAL</t>
        </is>
      </c>
      <c r="B19" s="17">
        <f>SUM(B5:B18)</f>
        <v/>
      </c>
      <c r="C19" s="17">
        <f>SUM(C5:C18)</f>
        <v/>
      </c>
      <c r="D19" s="17">
        <f>SUM(D5:D18)</f>
        <v/>
      </c>
      <c r="E19" s="17">
        <f>SUM(E5:E18)</f>
        <v/>
      </c>
      <c r="F19" s="17">
        <f>SUM(F5:F18)</f>
        <v/>
      </c>
      <c r="G19" s="17">
        <f>SUM(G5:G18)</f>
        <v/>
      </c>
    </row>
    <row r="21">
      <c r="A21" s="4" t="inlineStr">
        <is>
          <t>Lectura rápida</t>
        </is>
      </c>
    </row>
    <row r="22">
      <c r="A22" s="6" t="inlineStr">
        <is>
          <t>Pendiente real del calendario</t>
        </is>
      </c>
      <c r="B22" s="18">
        <f>TABLERO!F19</f>
        <v/>
      </c>
      <c r="D22" s="3" t="inlineStr">
        <is>
          <t>Las hojas resumen del CRONOGRAMA informan $417.765,32 porque suman también las 29 cuotas ya pagadas.</t>
        </is>
      </c>
    </row>
    <row r="23">
      <c r="A23" s="6" t="inlineStr">
        <is>
          <t>Vencido al corte</t>
        </is>
      </c>
      <c r="B23" s="18">
        <f>TABLERO!G19</f>
        <v/>
      </c>
      <c r="D23" s="3" t="inlineStr">
        <is>
          <t>10 cuotas en estado "Programado" con fecha anterior a la fecha de corte.</t>
        </is>
      </c>
    </row>
    <row r="24">
      <c r="A24" s="6" t="inlineStr">
        <is>
          <t>Brecha entre las dos fuentes</t>
        </is>
      </c>
      <c r="B24" s="18">
        <f>SUMPRODUCT(ABS(TABLERO!E5:E18))</f>
        <v/>
      </c>
      <c r="D24" s="3" t="inlineStr">
        <is>
          <t>Suma de diferencias absolutas: cuánto dinero está registrado como pagado en un archivo y no en el otro.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6" customWidth="1" min="3" max="3"/>
    <col width="20" customWidth="1" min="4" max="4"/>
    <col width="13" customWidth="1" min="5" max="5"/>
    <col width="12" customWidth="1" min="6" max="6"/>
    <col width="13" customWidth="1" min="7" max="7"/>
    <col width="13" customWidth="1" min="8" max="8"/>
    <col width="15" customWidth="1" min="9" max="9"/>
    <col width="44" customWidth="1" min="10" max="10"/>
  </cols>
  <sheetData>
    <row r="1" ht="34" customHeight="1">
      <c r="A1" s="1" t="inlineStr">
        <is>
          <t>Calendario unificado de cuotas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Las 54 cuotas del CRONOGRAMA agrupadas por país (orden de gira) y, dentro de cada país, por bloque.</t>
        </is>
      </c>
    </row>
    <row r="4" ht="30" customHeight="1">
      <c r="A4" s="8" t="inlineStr">
        <is>
          <t>Bloque</t>
        </is>
      </c>
      <c r="B4" s="8" t="inlineStr">
        <is>
          <t>Fecha pago</t>
        </is>
      </c>
      <c r="C4" s="8" t="inlineStr">
        <is>
          <t>Concepto / proveedor</t>
        </is>
      </c>
      <c r="D4" s="8" t="inlineStr">
        <is>
          <t>Cuota</t>
        </is>
      </c>
      <c r="E4" s="8" t="inlineStr">
        <is>
          <t>Monto USD</t>
        </is>
      </c>
      <c r="F4" s="8" t="inlineStr">
        <is>
          <t>Estado</t>
        </is>
      </c>
      <c r="G4" s="8" t="inlineStr">
        <is>
          <t>Días vs corte</t>
        </is>
      </c>
      <c r="H4" s="8" t="inlineStr">
        <is>
          <t>Semáforo</t>
        </is>
      </c>
      <c r="I4" s="8" t="inlineStr">
        <is>
          <t>País</t>
        </is>
      </c>
      <c r="J4" s="8" t="inlineStr">
        <is>
          <t>Contradice al MASTER</t>
        </is>
      </c>
    </row>
    <row r="5" ht="24" customHeight="1">
      <c r="A5" s="19" t="inlineStr">
        <is>
          <t>Ecuador   ·   evento 25 jul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18" customHeight="1">
      <c r="A6" s="20" t="inlineStr">
        <is>
          <t xml:space="preserve">      LUGAR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>
      <c r="A7" s="22" t="inlineStr">
        <is>
          <t>Lugar</t>
        </is>
      </c>
      <c r="B7" s="23" t="n">
        <v>46218</v>
      </c>
      <c r="C7" s="12" t="inlineStr">
        <is>
          <t>Wyndham Quintas (Salas MM)</t>
        </is>
      </c>
      <c r="D7" s="12" t="inlineStr">
        <is>
          <t>Pago total (100%)</t>
        </is>
      </c>
      <c r="E7" s="10" t="n">
        <v>1706</v>
      </c>
      <c r="F7" s="12" t="inlineStr">
        <is>
          <t>Pagado</t>
        </is>
      </c>
      <c r="G7" s="24">
        <f>IF(F7="Pagado","",TABLERO!$G$2-B7)</f>
        <v/>
      </c>
      <c r="H7" s="24">
        <f>IF(F7="Pagado","PAGADO",IF(B7&lt;TABLERO!$G$2,"VENCIDO",IF(B7&lt;=TABLERO!$G$2+30,"&lt; 30 dias","futuro")))</f>
        <v/>
      </c>
      <c r="I7" s="24" t="inlineStr">
        <is>
          <t>Ecuador</t>
        </is>
      </c>
      <c r="J7" s="24" t="inlineStr"/>
    </row>
    <row r="8" ht="18" customHeight="1">
      <c r="A8" s="20" t="inlineStr">
        <is>
          <t xml:space="preserve">      TÉCNICA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</row>
    <row r="9">
      <c r="A9" s="22" t="inlineStr">
        <is>
          <t>Técnica</t>
        </is>
      </c>
      <c r="B9" s="23" t="n">
        <v>46223</v>
      </c>
      <c r="C9" s="12" t="inlineStr">
        <is>
          <t>Jhon (técnica) - saldo</t>
        </is>
      </c>
      <c r="D9" s="12" t="inlineStr">
        <is>
          <t>Pago total</t>
        </is>
      </c>
      <c r="E9" s="10" t="n">
        <v>5500</v>
      </c>
      <c r="F9" s="12" t="inlineStr">
        <is>
          <t>Pagado</t>
        </is>
      </c>
      <c r="G9" s="24">
        <f>IF(F9="Pagado","",TABLERO!$G$2-B9)</f>
        <v/>
      </c>
      <c r="H9" s="24">
        <f>IF(F9="Pagado","PAGADO",IF(B9&lt;TABLERO!$G$2,"VENCIDO",IF(B9&lt;=TABLERO!$G$2+30,"&lt; 30 dias","futuro")))</f>
        <v/>
      </c>
      <c r="I9" s="24" t="inlineStr">
        <is>
          <t>Ecuador</t>
        </is>
      </c>
      <c r="J9" s="24" t="inlineStr"/>
    </row>
    <row r="10" ht="18" customHeight="1">
      <c r="A10" s="20" t="inlineStr">
        <is>
          <t xml:space="preserve">      PRODUCCIÓN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>
      <c r="A11" s="22" t="inlineStr">
        <is>
          <t>Producción</t>
        </is>
      </c>
      <c r="B11" s="23" t="n">
        <v>46218</v>
      </c>
      <c r="C11" s="12" t="inlineStr">
        <is>
          <t>Unifilas</t>
        </is>
      </c>
      <c r="D11" s="12" t="inlineStr">
        <is>
          <t>Pago total (100%)</t>
        </is>
      </c>
      <c r="E11" s="10" t="n">
        <v>600</v>
      </c>
      <c r="F11" s="12" t="inlineStr">
        <is>
          <t>Pagado</t>
        </is>
      </c>
      <c r="G11" s="24">
        <f>IF(F11="Pagado","",TABLERO!$G$2-B11)</f>
        <v/>
      </c>
      <c r="H11" s="24">
        <f>IF(F11="Pagado","PAGADO",IF(B11&lt;TABLERO!$G$2,"VENCIDO",IF(B11&lt;=TABLERO!$G$2+30,"&lt; 30 dias","futuro")))</f>
        <v/>
      </c>
      <c r="I11" s="24" t="inlineStr">
        <is>
          <t>Ecuador</t>
        </is>
      </c>
      <c r="J11" s="24" t="inlineStr"/>
    </row>
    <row r="12" ht="18" customHeight="1">
      <c r="A12" s="20" t="inlineStr">
        <is>
          <t xml:space="preserve">      MERCH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>
      <c r="A13" s="22" t="inlineStr">
        <is>
          <t>Merch</t>
        </is>
      </c>
      <c r="B13" s="23" t="n">
        <v>46218</v>
      </c>
      <c r="C13" s="12" t="inlineStr">
        <is>
          <t>Jorge (gorras, bolsas, pañuelos, camisetas) - saldo</t>
        </is>
      </c>
      <c r="D13" s="12" t="inlineStr">
        <is>
          <t>Pago total</t>
        </is>
      </c>
      <c r="E13" s="10" t="n">
        <v>2015</v>
      </c>
      <c r="F13" s="12" t="inlineStr">
        <is>
          <t>Pagado</t>
        </is>
      </c>
      <c r="G13" s="24">
        <f>IF(F13="Pagado","",TABLERO!$G$2-B13)</f>
        <v/>
      </c>
      <c r="H13" s="24">
        <f>IF(F13="Pagado","PAGADO",IF(B13&lt;TABLERO!$G$2,"VENCIDO",IF(B13&lt;=TABLERO!$G$2+30,"&lt; 30 dias","futuro")))</f>
        <v/>
      </c>
      <c r="I13" s="24" t="inlineStr">
        <is>
          <t>Ecuador</t>
        </is>
      </c>
      <c r="J13" s="24" t="inlineStr"/>
    </row>
    <row r="14">
      <c r="A14" s="22" t="inlineStr">
        <is>
          <t>Merch</t>
        </is>
      </c>
      <c r="B14" s="23" t="n">
        <v>46218</v>
      </c>
      <c r="C14" s="12" t="inlineStr">
        <is>
          <t>Jorge (pañuelos RD) - saldo</t>
        </is>
      </c>
      <c r="D14" s="12" t="inlineStr">
        <is>
          <t>Pago total</t>
        </is>
      </c>
      <c r="E14" s="10" t="n">
        <v>1075</v>
      </c>
      <c r="F14" s="12" t="inlineStr">
        <is>
          <t>Pagado</t>
        </is>
      </c>
      <c r="G14" s="24">
        <f>IF(F14="Pagado","",TABLERO!$G$2-B14)</f>
        <v/>
      </c>
      <c r="H14" s="24">
        <f>IF(F14="Pagado","PAGADO",IF(B14&lt;TABLERO!$G$2,"VENCIDO",IF(B14&lt;=TABLERO!$G$2+30,"&lt; 30 dias","futuro")))</f>
        <v/>
      </c>
      <c r="I14" s="24" t="inlineStr">
        <is>
          <t>Ecuador</t>
        </is>
      </c>
      <c r="J14" s="24" t="inlineStr"/>
    </row>
    <row r="15">
      <c r="A15" s="22" t="inlineStr">
        <is>
          <t>Merch</t>
        </is>
      </c>
      <c r="B15" s="23" t="n">
        <v>46218</v>
      </c>
      <c r="C15" s="12" t="inlineStr">
        <is>
          <t>Placas reconocimiento</t>
        </is>
      </c>
      <c r="D15" s="12" t="inlineStr">
        <is>
          <t>Pago total (100%)</t>
        </is>
      </c>
      <c r="E15" s="10" t="n">
        <v>390</v>
      </c>
      <c r="F15" s="12" t="inlineStr">
        <is>
          <t>Pagado</t>
        </is>
      </c>
      <c r="G15" s="24">
        <f>IF(F15="Pagado","",TABLERO!$G$2-B15)</f>
        <v/>
      </c>
      <c r="H15" s="24">
        <f>IF(F15="Pagado","PAGADO",IF(B15&lt;TABLERO!$G$2,"VENCIDO",IF(B15&lt;=TABLERO!$G$2+30,"&lt; 30 dias","futuro")))</f>
        <v/>
      </c>
      <c r="I15" s="24" t="inlineStr">
        <is>
          <t>Ecuador</t>
        </is>
      </c>
      <c r="J15" s="13" t="inlineStr">
        <is>
          <t>MASTER dice "Pendiente" (100% sin abonar)</t>
        </is>
      </c>
    </row>
    <row r="16">
      <c r="A16" s="16" t="inlineStr">
        <is>
          <t>Subtotal Ecuador</t>
        </is>
      </c>
      <c r="B16" s="25" t="n"/>
      <c r="C16" s="25" t="n"/>
      <c r="D16" s="25" t="n"/>
      <c r="E16" s="17">
        <f>SUMIF($F$6:$F$15,"&lt;&gt;",$E$6:$E$15)</f>
        <v/>
      </c>
      <c r="F16" s="17">
        <f>SUMIF($F$6:$F$15,"Programado",$E$6:$E$15)</f>
        <v/>
      </c>
      <c r="G16" s="26" t="inlineStr">
        <is>
          <t>pendiente →</t>
        </is>
      </c>
      <c r="H16" s="25" t="n"/>
      <c r="I16" s="25" t="n"/>
      <c r="J16" s="25" t="n"/>
    </row>
    <row r="17" ht="24" customHeight="1">
      <c r="A17" s="19" t="inlineStr">
        <is>
          <t>Panamá   ·   evento 08 ago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18" customHeight="1">
      <c r="A18" s="20" t="inlineStr">
        <is>
          <t xml:space="preserve">      LUGAR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>
      <c r="A19" s="22" t="inlineStr">
        <is>
          <t>Lugar</t>
        </is>
      </c>
      <c r="B19" s="23" t="n">
        <v>46219</v>
      </c>
      <c r="C19" s="12" t="inlineStr">
        <is>
          <t>Riu Plaza - saldo (70%)</t>
        </is>
      </c>
      <c r="D19" s="12" t="inlineStr">
        <is>
          <t>Cuota 1 de 2 (50%)</t>
        </is>
      </c>
      <c r="E19" s="10" t="n">
        <v>14688.66</v>
      </c>
      <c r="F19" s="12" t="inlineStr">
        <is>
          <t>Pagado</t>
        </is>
      </c>
      <c r="G19" s="24">
        <f>IF(F19="Pagado","",TABLERO!$G$2-B19)</f>
        <v/>
      </c>
      <c r="H19" s="24">
        <f>IF(F19="Pagado","PAGADO",IF(B19&lt;TABLERO!$G$2,"VENCIDO",IF(B19&lt;=TABLERO!$G$2+30,"&lt; 30 dias","futuro")))</f>
        <v/>
      </c>
      <c r="I19" s="24" t="inlineStr">
        <is>
          <t>Panamá</t>
        </is>
      </c>
      <c r="J19" s="24" t="inlineStr"/>
    </row>
    <row r="20">
      <c r="A20" s="22" t="inlineStr">
        <is>
          <t>Lugar</t>
        </is>
      </c>
      <c r="B20" s="23" t="n">
        <v>46219</v>
      </c>
      <c r="C20" s="12" t="inlineStr">
        <is>
          <t>Faranda (Salas MM)</t>
        </is>
      </c>
      <c r="D20" s="12" t="inlineStr">
        <is>
          <t>Cuota 1 de 2 (50%)</t>
        </is>
      </c>
      <c r="E20" s="10" t="n">
        <v>1000</v>
      </c>
      <c r="F20" s="12" t="inlineStr">
        <is>
          <t>Pagado</t>
        </is>
      </c>
      <c r="G20" s="24">
        <f>IF(F20="Pagado","",TABLERO!$G$2-B20)</f>
        <v/>
      </c>
      <c r="H20" s="24">
        <f>IF(F20="Pagado","PAGADO",IF(B20&lt;TABLERO!$G$2,"VENCIDO",IF(B20&lt;=TABLERO!$G$2+30,"&lt; 30 dias","futuro")))</f>
        <v/>
      </c>
      <c r="I20" s="24" t="inlineStr">
        <is>
          <t>Panamá</t>
        </is>
      </c>
      <c r="J20" s="13" t="inlineStr">
        <is>
          <t>La hoja Panamá registra $1.190 en Faranda + $1.375 en Hotel America Golden Tower</t>
        </is>
      </c>
    </row>
    <row r="21">
      <c r="A21" s="22" t="inlineStr">
        <is>
          <t>Lugar</t>
        </is>
      </c>
      <c r="B21" s="23" t="n">
        <v>46232</v>
      </c>
      <c r="C21" s="12" t="inlineStr">
        <is>
          <t>Riu Plaza - saldo (70%)</t>
        </is>
      </c>
      <c r="D21" s="12" t="inlineStr">
        <is>
          <t>Cuota 2 de 2 (50%)</t>
        </is>
      </c>
      <c r="E21" s="10" t="n">
        <v>14688.66</v>
      </c>
      <c r="F21" s="12" t="inlineStr">
        <is>
          <t>Pagado</t>
        </is>
      </c>
      <c r="G21" s="24">
        <f>IF(F21="Pagado","",TABLERO!$G$2-B21)</f>
        <v/>
      </c>
      <c r="H21" s="24">
        <f>IF(F21="Pagado","PAGADO",IF(B21&lt;TABLERO!$G$2,"VENCIDO",IF(B21&lt;=TABLERO!$G$2+30,"&lt; 30 dias","futuro")))</f>
        <v/>
      </c>
      <c r="I21" s="24" t="inlineStr">
        <is>
          <t>Panamá</t>
        </is>
      </c>
      <c r="J21" s="24" t="inlineStr"/>
    </row>
    <row r="22">
      <c r="A22" s="22" t="inlineStr">
        <is>
          <t>Lugar</t>
        </is>
      </c>
      <c r="B22" s="23" t="n">
        <v>46232</v>
      </c>
      <c r="C22" s="12" t="inlineStr">
        <is>
          <t>Faranda (Salas MM)</t>
        </is>
      </c>
      <c r="D22" s="12" t="inlineStr">
        <is>
          <t>Cuota 2 de 2 (50%)</t>
        </is>
      </c>
      <c r="E22" s="10" t="n">
        <v>1000</v>
      </c>
      <c r="F22" s="12" t="inlineStr">
        <is>
          <t>Pagado</t>
        </is>
      </c>
      <c r="G22" s="24">
        <f>IF(F22="Pagado","",TABLERO!$G$2-B22)</f>
        <v/>
      </c>
      <c r="H22" s="24">
        <f>IF(F22="Pagado","PAGADO",IF(B22&lt;TABLERO!$G$2,"VENCIDO",IF(B22&lt;=TABLERO!$G$2+30,"&lt; 30 dias","futuro")))</f>
        <v/>
      </c>
      <c r="I22" s="24" t="inlineStr">
        <is>
          <t>Panamá</t>
        </is>
      </c>
      <c r="J22" s="13" t="inlineStr">
        <is>
          <t>La hoja Panamá registra $1.190 en Faranda + $1.375 en Hotel America Golden Tower</t>
        </is>
      </c>
    </row>
    <row r="23" ht="18" customHeight="1">
      <c r="A23" s="20" t="inlineStr">
        <is>
          <t xml:space="preserve">      TÉCNICA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</row>
    <row r="24">
      <c r="A24" s="22" t="inlineStr">
        <is>
          <t>Técnica</t>
        </is>
      </c>
      <c r="B24" s="23" t="n">
        <v>46219</v>
      </c>
      <c r="C24" s="12" t="inlineStr">
        <is>
          <t>Plataforma AV</t>
        </is>
      </c>
      <c r="D24" s="12" t="inlineStr">
        <is>
          <t>Cuota 1 de 2 (50%)</t>
        </is>
      </c>
      <c r="E24" s="10" t="n">
        <v>7500</v>
      </c>
      <c r="F24" s="12" t="inlineStr">
        <is>
          <t>Pagado</t>
        </is>
      </c>
      <c r="G24" s="24">
        <f>IF(F24="Pagado","",TABLERO!$G$2-B24)</f>
        <v/>
      </c>
      <c r="H24" s="24">
        <f>IF(F24="Pagado","PAGADO",IF(B24&lt;TABLERO!$G$2,"VENCIDO",IF(B24&lt;=TABLERO!$G$2+30,"&lt; 30 dias","futuro")))</f>
        <v/>
      </c>
      <c r="I24" s="24" t="inlineStr">
        <is>
          <t>Panamá</t>
        </is>
      </c>
      <c r="J24" s="24" t="inlineStr"/>
    </row>
    <row r="25">
      <c r="A25" s="22" t="inlineStr">
        <is>
          <t>Técnica</t>
        </is>
      </c>
      <c r="B25" s="23" t="n">
        <v>46227</v>
      </c>
      <c r="C25" s="12" t="inlineStr">
        <is>
          <t>Plataforma AV</t>
        </is>
      </c>
      <c r="D25" s="12" t="inlineStr">
        <is>
          <t>Cuota 2 de 2 (50%)</t>
        </is>
      </c>
      <c r="E25" s="10" t="n">
        <v>7500</v>
      </c>
      <c r="F25" s="12" t="inlineStr">
        <is>
          <t>Pagado</t>
        </is>
      </c>
      <c r="G25" s="24">
        <f>IF(F25="Pagado","",TABLERO!$G$2-B25)</f>
        <v/>
      </c>
      <c r="H25" s="24">
        <f>IF(F25="Pagado","PAGADO",IF(B25&lt;TABLERO!$G$2,"VENCIDO",IF(B25&lt;=TABLERO!$G$2+30,"&lt; 30 dias","futuro")))</f>
        <v/>
      </c>
      <c r="I25" s="24" t="inlineStr">
        <is>
          <t>Panamá</t>
        </is>
      </c>
      <c r="J25" s="24" t="inlineStr"/>
    </row>
    <row r="26" ht="18" customHeight="1">
      <c r="A26" s="20" t="inlineStr">
        <is>
          <t xml:space="preserve">      DINÁMICA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22" t="inlineStr">
        <is>
          <t>Dinámica</t>
        </is>
      </c>
      <c r="B27" s="23" t="n">
        <v>46219</v>
      </c>
      <c r="C27" s="12" t="inlineStr">
        <is>
          <t>Varillas</t>
        </is>
      </c>
      <c r="D27" s="12" t="inlineStr">
        <is>
          <t>Cuota 1 de 2 (50%)</t>
        </is>
      </c>
      <c r="E27" s="10" t="n">
        <v>600</v>
      </c>
      <c r="F27" s="12" t="inlineStr">
        <is>
          <t>Pagado</t>
        </is>
      </c>
      <c r="G27" s="24">
        <f>IF(F27="Pagado","",TABLERO!$G$2-B27)</f>
        <v/>
      </c>
      <c r="H27" s="24">
        <f>IF(F27="Pagado","PAGADO",IF(B27&lt;TABLERO!$G$2,"VENCIDO",IF(B27&lt;=TABLERO!$G$2+30,"&lt; 30 dias","futuro")))</f>
        <v/>
      </c>
      <c r="I27" s="24" t="inlineStr">
        <is>
          <t>Panamá</t>
        </is>
      </c>
      <c r="J27" s="24" t="inlineStr"/>
    </row>
    <row r="28">
      <c r="A28" s="22" t="inlineStr">
        <is>
          <t>Dinámica</t>
        </is>
      </c>
      <c r="B28" s="23" t="n">
        <v>46232</v>
      </c>
      <c r="C28" s="12" t="inlineStr">
        <is>
          <t>Varillas</t>
        </is>
      </c>
      <c r="D28" s="12" t="inlineStr">
        <is>
          <t>Cuota 2 de 2 (50%)</t>
        </is>
      </c>
      <c r="E28" s="10" t="n">
        <v>600</v>
      </c>
      <c r="F28" s="12" t="inlineStr">
        <is>
          <t>Pagado</t>
        </is>
      </c>
      <c r="G28" s="24">
        <f>IF(F28="Pagado","",TABLERO!$G$2-B28)</f>
        <v/>
      </c>
      <c r="H28" s="24">
        <f>IF(F28="Pagado","PAGADO",IF(B28&lt;TABLERO!$G$2,"VENCIDO",IF(B28&lt;=TABLERO!$G$2+30,"&lt; 30 dias","futuro")))</f>
        <v/>
      </c>
      <c r="I28" s="24" t="inlineStr">
        <is>
          <t>Panamá</t>
        </is>
      </c>
      <c r="J28" s="24" t="inlineStr"/>
    </row>
    <row r="29" ht="18" customHeight="1">
      <c r="A29" s="20" t="inlineStr">
        <is>
          <t xml:space="preserve">      MERCH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>
      <c r="A30" s="22" t="inlineStr">
        <is>
          <t>Merch</t>
        </is>
      </c>
      <c r="B30" s="23" t="n">
        <v>46219</v>
      </c>
      <c r="C30" s="12" t="inlineStr">
        <is>
          <t>Impresos</t>
        </is>
      </c>
      <c r="D30" s="12" t="inlineStr">
        <is>
          <t>Cuota 1 de 2 (50%)</t>
        </is>
      </c>
      <c r="E30" s="10" t="n">
        <v>350</v>
      </c>
      <c r="F30" s="12" t="inlineStr">
        <is>
          <t>Pagado</t>
        </is>
      </c>
      <c r="G30" s="24">
        <f>IF(F30="Pagado","",TABLERO!$G$2-B30)</f>
        <v/>
      </c>
      <c r="H30" s="24">
        <f>IF(F30="Pagado","PAGADO",IF(B30&lt;TABLERO!$G$2,"VENCIDO",IF(B30&lt;=TABLERO!$G$2+30,"&lt; 30 dias","futuro")))</f>
        <v/>
      </c>
      <c r="I30" s="24" t="inlineStr">
        <is>
          <t>Panamá</t>
        </is>
      </c>
      <c r="J30" s="24" t="inlineStr"/>
    </row>
    <row r="31">
      <c r="A31" s="22" t="inlineStr">
        <is>
          <t>Merch</t>
        </is>
      </c>
      <c r="B31" s="23" t="n">
        <v>46222</v>
      </c>
      <c r="C31" s="12" t="inlineStr">
        <is>
          <t>Impresos</t>
        </is>
      </c>
      <c r="D31" s="12" t="inlineStr">
        <is>
          <t>Cuota 2 de 2 (50%)</t>
        </is>
      </c>
      <c r="E31" s="10" t="n">
        <v>350</v>
      </c>
      <c r="F31" s="12" t="inlineStr">
        <is>
          <t>Pagado</t>
        </is>
      </c>
      <c r="G31" s="24">
        <f>IF(F31="Pagado","",TABLERO!$G$2-B31)</f>
        <v/>
      </c>
      <c r="H31" s="24">
        <f>IF(F31="Pagado","PAGADO",IF(B31&lt;TABLERO!$G$2,"VENCIDO",IF(B31&lt;=TABLERO!$G$2+30,"&lt; 30 dias","futuro")))</f>
        <v/>
      </c>
      <c r="I31" s="24" t="inlineStr">
        <is>
          <t>Panamá</t>
        </is>
      </c>
      <c r="J31" s="24" t="inlineStr"/>
    </row>
    <row r="32">
      <c r="A32" s="16" t="inlineStr">
        <is>
          <t>Subtotal Panamá</t>
        </is>
      </c>
      <c r="B32" s="25" t="n"/>
      <c r="C32" s="25" t="n"/>
      <c r="D32" s="25" t="n"/>
      <c r="E32" s="17">
        <f>SUMIF($F$18:$F$31,"&lt;&gt;",$E$18:$E$31)</f>
        <v/>
      </c>
      <c r="F32" s="17">
        <f>SUMIF($F$18:$F$31,"Programado",$E$18:$E$31)</f>
        <v/>
      </c>
      <c r="G32" s="26" t="inlineStr">
        <is>
          <t>pendiente →</t>
        </is>
      </c>
      <c r="H32" s="25" t="n"/>
      <c r="I32" s="25" t="n"/>
      <c r="J32" s="25" t="n"/>
    </row>
    <row r="33" ht="24" customHeight="1">
      <c r="A33" s="19" t="inlineStr">
        <is>
          <t>Rep. Dominicana   ·   evento 15 ago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18" customHeight="1">
      <c r="A34" s="20" t="inlineStr">
        <is>
          <t xml:space="preserve">      LUGAR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22" t="inlineStr">
        <is>
          <t>Lugar</t>
        </is>
      </c>
      <c r="B35" s="23" t="n">
        <v>46219</v>
      </c>
      <c r="C35" s="12" t="inlineStr">
        <is>
          <t>Crowne Plaza</t>
        </is>
      </c>
      <c r="D35" s="12" t="inlineStr">
        <is>
          <t>Cuota 1 de 2 (50%)</t>
        </is>
      </c>
      <c r="E35" s="10" t="n">
        <v>17000</v>
      </c>
      <c r="F35" s="12" t="inlineStr">
        <is>
          <t>Pagado</t>
        </is>
      </c>
      <c r="G35" s="24">
        <f>IF(F35="Pagado","",TABLERO!$G$2-B35)</f>
        <v/>
      </c>
      <c r="H35" s="24">
        <f>IF(F35="Pagado","PAGADO",IF(B35&lt;TABLERO!$G$2,"VENCIDO",IF(B35&lt;=TABLERO!$G$2+30,"&lt; 30 dias","futuro")))</f>
        <v/>
      </c>
      <c r="I35" s="24" t="inlineStr">
        <is>
          <t>Rep. Dominicana</t>
        </is>
      </c>
      <c r="J35" s="24" t="inlineStr"/>
    </row>
    <row r="36">
      <c r="A36" s="22" t="inlineStr">
        <is>
          <t>Lugar</t>
        </is>
      </c>
      <c r="B36" s="23" t="n">
        <v>46239</v>
      </c>
      <c r="C36" s="12" t="inlineStr">
        <is>
          <t>Crowne Plaza</t>
        </is>
      </c>
      <c r="D36" s="12" t="inlineStr">
        <is>
          <t>Cuota 2 de 2 (50%)</t>
        </is>
      </c>
      <c r="E36" s="10" t="n">
        <v>17000</v>
      </c>
      <c r="F36" s="12" t="inlineStr">
        <is>
          <t>Pagado</t>
        </is>
      </c>
      <c r="G36" s="24">
        <f>IF(F36="Pagado","",TABLERO!$G$2-B36)</f>
        <v/>
      </c>
      <c r="H36" s="24">
        <f>IF(F36="Pagado","PAGADO",IF(B36&lt;TABLERO!$G$2,"VENCIDO",IF(B36&lt;=TABLERO!$G$2+30,"&lt; 30 dias","futuro")))</f>
        <v/>
      </c>
      <c r="I36" s="24" t="inlineStr">
        <is>
          <t>Rep. Dominicana</t>
        </is>
      </c>
      <c r="J36" s="24" t="inlineStr"/>
    </row>
    <row r="37" ht="18" customHeight="1">
      <c r="A37" s="20" t="inlineStr">
        <is>
          <t xml:space="preserve">      TÉCNICA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2" t="inlineStr">
        <is>
          <t>Técnica</t>
        </is>
      </c>
      <c r="B38" s="23" t="n">
        <v>46219</v>
      </c>
      <c r="C38" s="12" t="inlineStr">
        <is>
          <t>Plataforma AV</t>
        </is>
      </c>
      <c r="D38" s="12" t="inlineStr">
        <is>
          <t>Cuota 1 de 2 (50%)</t>
        </is>
      </c>
      <c r="E38" s="10" t="n">
        <v>7500</v>
      </c>
      <c r="F38" s="12" t="inlineStr">
        <is>
          <t>Pagado</t>
        </is>
      </c>
      <c r="G38" s="24">
        <f>IF(F38="Pagado","",TABLERO!$G$2-B38)</f>
        <v/>
      </c>
      <c r="H38" s="24">
        <f>IF(F38="Pagado","PAGADO",IF(B38&lt;TABLERO!$G$2,"VENCIDO",IF(B38&lt;=TABLERO!$G$2+30,"&lt; 30 dias","futuro")))</f>
        <v/>
      </c>
      <c r="I38" s="24" t="inlineStr">
        <is>
          <t>Rep. Dominicana</t>
        </is>
      </c>
      <c r="J38" s="24" t="inlineStr"/>
    </row>
    <row r="39">
      <c r="A39" s="22" t="inlineStr">
        <is>
          <t>Técnica</t>
        </is>
      </c>
      <c r="B39" s="23" t="n">
        <v>46234</v>
      </c>
      <c r="C39" s="12" t="inlineStr">
        <is>
          <t>Plataforma AV</t>
        </is>
      </c>
      <c r="D39" s="12" t="inlineStr">
        <is>
          <t>Cuota 2 de 2 (50%)</t>
        </is>
      </c>
      <c r="E39" s="10" t="n">
        <v>7500</v>
      </c>
      <c r="F39" s="12" t="inlineStr">
        <is>
          <t>Pagado</t>
        </is>
      </c>
      <c r="G39" s="24">
        <f>IF(F39="Pagado","",TABLERO!$G$2-B39)</f>
        <v/>
      </c>
      <c r="H39" s="24">
        <f>IF(F39="Pagado","PAGADO",IF(B39&lt;TABLERO!$G$2,"VENCIDO",IF(B39&lt;=TABLERO!$G$2+30,"&lt; 30 dias","futuro")))</f>
        <v/>
      </c>
      <c r="I39" s="24" t="inlineStr">
        <is>
          <t>Rep. Dominicana</t>
        </is>
      </c>
      <c r="J39" s="24" t="inlineStr"/>
    </row>
    <row r="40" ht="18" customHeight="1">
      <c r="A40" s="20" t="inlineStr">
        <is>
          <t xml:space="preserve">      DINÁMICA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>
      <c r="A41" s="22" t="inlineStr">
        <is>
          <t>Dinámica</t>
        </is>
      </c>
      <c r="B41" s="23" t="n">
        <v>46219</v>
      </c>
      <c r="C41" s="12" t="inlineStr">
        <is>
          <t>Varillas</t>
        </is>
      </c>
      <c r="D41" s="12" t="inlineStr">
        <is>
          <t>Cuota 1 de 2 (50%)</t>
        </is>
      </c>
      <c r="E41" s="10" t="n">
        <v>600</v>
      </c>
      <c r="F41" s="12" t="inlineStr">
        <is>
          <t>Pagado</t>
        </is>
      </c>
      <c r="G41" s="24">
        <f>IF(F41="Pagado","",TABLERO!$G$2-B41)</f>
        <v/>
      </c>
      <c r="H41" s="24">
        <f>IF(F41="Pagado","PAGADO",IF(B41&lt;TABLERO!$G$2,"VENCIDO",IF(B41&lt;=TABLERO!$G$2+30,"&lt; 30 dias","futuro")))</f>
        <v/>
      </c>
      <c r="I41" s="24" t="inlineStr">
        <is>
          <t>Rep. Dominicana</t>
        </is>
      </c>
      <c r="J41" s="24" t="inlineStr"/>
    </row>
    <row r="42">
      <c r="A42" s="22" t="inlineStr">
        <is>
          <t>Dinámica</t>
        </is>
      </c>
      <c r="B42" s="23" t="n">
        <v>46239</v>
      </c>
      <c r="C42" s="12" t="inlineStr">
        <is>
          <t>Varillas</t>
        </is>
      </c>
      <c r="D42" s="12" t="inlineStr">
        <is>
          <t>Cuota 2 de 2 (50%)</t>
        </is>
      </c>
      <c r="E42" s="10" t="n">
        <v>600</v>
      </c>
      <c r="F42" s="12" t="inlineStr">
        <is>
          <t>Pagado</t>
        </is>
      </c>
      <c r="G42" s="24">
        <f>IF(F42="Pagado","",TABLERO!$G$2-B42)</f>
        <v/>
      </c>
      <c r="H42" s="24">
        <f>IF(F42="Pagado","PAGADO",IF(B42&lt;TABLERO!$G$2,"VENCIDO",IF(B42&lt;=TABLERO!$G$2+30,"&lt; 30 dias","futuro")))</f>
        <v/>
      </c>
      <c r="I42" s="24" t="inlineStr">
        <is>
          <t>Rep. Dominicana</t>
        </is>
      </c>
      <c r="J42" s="24" t="inlineStr"/>
    </row>
    <row r="43">
      <c r="A43" s="16" t="inlineStr">
        <is>
          <t>Subtotal Rep. Dominicana</t>
        </is>
      </c>
      <c r="B43" s="25" t="n"/>
      <c r="C43" s="25" t="n"/>
      <c r="D43" s="25" t="n"/>
      <c r="E43" s="17">
        <f>SUMIF($F$34:$F$42,"&lt;&gt;",$E$34:$E$42)</f>
        <v/>
      </c>
      <c r="F43" s="17">
        <f>SUMIF($F$34:$F$42,"Programado",$E$34:$E$42)</f>
        <v/>
      </c>
      <c r="G43" s="26" t="inlineStr">
        <is>
          <t>pendiente →</t>
        </is>
      </c>
      <c r="H43" s="25" t="n"/>
      <c r="I43" s="25" t="n"/>
      <c r="J43" s="25" t="n"/>
    </row>
    <row r="44" ht="24" customHeight="1">
      <c r="A44" s="19" t="inlineStr">
        <is>
          <t>Colombia 1ra   ·   evento 29 ago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18" customHeight="1">
      <c r="A45" s="20" t="inlineStr">
        <is>
          <t xml:space="preserve">      LUGAR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</row>
    <row r="46">
      <c r="A46" s="22" t="inlineStr">
        <is>
          <t>Lugar</t>
        </is>
      </c>
      <c r="B46" s="23" t="n">
        <v>46223</v>
      </c>
      <c r="C46" s="12" t="inlineStr">
        <is>
          <t>City Hall</t>
        </is>
      </c>
      <c r="D46" s="12" t="inlineStr">
        <is>
          <t>Cuota 1 de 2 (50%)</t>
        </is>
      </c>
      <c r="E46" s="10" t="n">
        <v>36500</v>
      </c>
      <c r="F46" s="12" t="inlineStr">
        <is>
          <t>Pagado</t>
        </is>
      </c>
      <c r="G46" s="24">
        <f>IF(F46="Pagado","",TABLERO!$G$2-B46)</f>
        <v/>
      </c>
      <c r="H46" s="24">
        <f>IF(F46="Pagado","PAGADO",IF(B46&lt;TABLERO!$G$2,"VENCIDO",IF(B46&lt;=TABLERO!$G$2+30,"&lt; 30 dias","futuro")))</f>
        <v/>
      </c>
      <c r="I46" s="24" t="inlineStr">
        <is>
          <t>Colombia 1ra</t>
        </is>
      </c>
      <c r="J46" s="24" t="inlineStr"/>
    </row>
    <row r="47">
      <c r="A47" s="22" t="inlineStr">
        <is>
          <t>Lugar</t>
        </is>
      </c>
      <c r="B47" s="23" t="n">
        <v>46253</v>
      </c>
      <c r="C47" s="12" t="inlineStr">
        <is>
          <t>City Hall</t>
        </is>
      </c>
      <c r="D47" s="12" t="inlineStr">
        <is>
          <t>Cuota 2 de 2 (50%)</t>
        </is>
      </c>
      <c r="E47" s="10" t="n">
        <v>36500</v>
      </c>
      <c r="F47" s="12" t="inlineStr">
        <is>
          <t>Pagado</t>
        </is>
      </c>
      <c r="G47" s="24">
        <f>IF(F47="Pagado","",TABLERO!$G$2-B47)</f>
        <v/>
      </c>
      <c r="H47" s="24">
        <f>IF(F47="Pagado","PAGADO",IF(B47&lt;TABLERO!$G$2,"VENCIDO",IF(B47&lt;=TABLERO!$G$2+30,"&lt; 30 dias","futuro")))</f>
        <v/>
      </c>
      <c r="I47" s="24" t="inlineStr">
        <is>
          <t>Colombia 1ra</t>
        </is>
      </c>
      <c r="J47" s="24" t="inlineStr"/>
    </row>
    <row r="48" ht="18" customHeight="1">
      <c r="A48" s="20" t="inlineStr">
        <is>
          <t xml:space="preserve">      MERCH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</row>
    <row r="49">
      <c r="A49" s="27" t="inlineStr">
        <is>
          <t>Merch</t>
        </is>
      </c>
      <c r="B49" s="28" t="n">
        <v>46213</v>
      </c>
      <c r="C49" s="29" t="inlineStr">
        <is>
          <t>Gorras</t>
        </is>
      </c>
      <c r="D49" s="29" t="inlineStr">
        <is>
          <t>Cuota 1 de 1 (100%)</t>
        </is>
      </c>
      <c r="E49" s="14" t="n">
        <v>1000</v>
      </c>
      <c r="F49" s="29" t="inlineStr">
        <is>
          <t>Programado</t>
        </is>
      </c>
      <c r="G49" s="15">
        <f>IF(F49="Pagado","",TABLERO!$G$2-B49)</f>
        <v/>
      </c>
      <c r="H49" s="15">
        <f>IF(F49="Pagado","PAGADO",IF(B49&lt;TABLERO!$G$2,"VENCIDO",IF(B49&lt;=TABLERO!$G$2+30,"&lt; 30 dias","futuro")))</f>
        <v/>
      </c>
      <c r="I49" s="15" t="inlineStr">
        <is>
          <t>Colombia 1ra</t>
        </is>
      </c>
      <c r="J49" s="13" t="inlineStr">
        <is>
          <t>Etiqueta "Cuota 1 de 1 (100%)" pero es la 1ra mitad del saldo de $2.000</t>
        </is>
      </c>
    </row>
    <row r="50">
      <c r="A50" s="27" t="inlineStr">
        <is>
          <t>Merch</t>
        </is>
      </c>
      <c r="B50" s="28" t="n">
        <v>46213</v>
      </c>
      <c r="C50" s="29" t="inlineStr">
        <is>
          <t>Camisetas</t>
        </is>
      </c>
      <c r="D50" s="29" t="inlineStr">
        <is>
          <t>Cuota 1 de 2 (50%)</t>
        </is>
      </c>
      <c r="E50" s="14" t="n">
        <v>216.5</v>
      </c>
      <c r="F50" s="29" t="inlineStr">
        <is>
          <t>Programado</t>
        </is>
      </c>
      <c r="G50" s="15">
        <f>IF(F50="Pagado","",TABLERO!$G$2-B50)</f>
        <v/>
      </c>
      <c r="H50" s="15">
        <f>IF(F50="Pagado","PAGADO",IF(B50&lt;TABLERO!$G$2,"VENCIDO",IF(B50&lt;=TABLERO!$G$2+30,"&lt; 30 dias","futuro")))</f>
        <v/>
      </c>
      <c r="I50" s="15" t="inlineStr">
        <is>
          <t>Colombia 1ra</t>
        </is>
      </c>
      <c r="J50" s="13" t="inlineStr">
        <is>
          <t>MASTER dice "Pendiente" (100% sin abonar, total $433)</t>
        </is>
      </c>
    </row>
    <row r="51">
      <c r="A51" s="27" t="inlineStr">
        <is>
          <t>Merch</t>
        </is>
      </c>
      <c r="B51" s="28" t="n">
        <v>46213</v>
      </c>
      <c r="C51" s="29" t="inlineStr">
        <is>
          <t>100 Tarjetas platino</t>
        </is>
      </c>
      <c r="D51" s="29" t="inlineStr">
        <is>
          <t>Cuota 1 de 2 (50%)</t>
        </is>
      </c>
      <c r="E51" s="14" t="n">
        <v>305.5</v>
      </c>
      <c r="F51" s="29" t="inlineStr">
        <is>
          <t>Programado</t>
        </is>
      </c>
      <c r="G51" s="15">
        <f>IF(F51="Pagado","",TABLERO!$G$2-B51)</f>
        <v/>
      </c>
      <c r="H51" s="15">
        <f>IF(F51="Pagado","PAGADO",IF(B51&lt;TABLERO!$G$2,"VENCIDO",IF(B51&lt;=TABLERO!$G$2+30,"&lt; 30 dias","futuro")))</f>
        <v/>
      </c>
      <c r="I51" s="15" t="inlineStr">
        <is>
          <t>Colombia 1ra</t>
        </is>
      </c>
      <c r="J51" s="13" t="inlineStr">
        <is>
          <t>MASTER dice "Pendiente" (100% sin abonar, total $611)</t>
        </is>
      </c>
    </row>
    <row r="52">
      <c r="A52" s="22" t="inlineStr">
        <is>
          <t>Merch</t>
        </is>
      </c>
      <c r="B52" s="23" t="n">
        <v>46243</v>
      </c>
      <c r="C52" s="12" t="inlineStr">
        <is>
          <t>Gorras - saldo</t>
        </is>
      </c>
      <c r="D52" s="12" t="inlineStr">
        <is>
          <t>Cuota 2 de 2 (50%)</t>
        </is>
      </c>
      <c r="E52" s="10" t="n">
        <v>1000</v>
      </c>
      <c r="F52" s="12" t="inlineStr">
        <is>
          <t>Pagado</t>
        </is>
      </c>
      <c r="G52" s="24">
        <f>IF(F52="Pagado","",TABLERO!$G$2-B52)</f>
        <v/>
      </c>
      <c r="H52" s="24">
        <f>IF(F52="Pagado","PAGADO",IF(B52&lt;TABLERO!$G$2,"VENCIDO",IF(B52&lt;=TABLERO!$G$2+30,"&lt; 30 dias","futuro")))</f>
        <v/>
      </c>
      <c r="I52" s="24" t="inlineStr">
        <is>
          <t>Colombia 1ra</t>
        </is>
      </c>
      <c r="J52" s="13" t="inlineStr">
        <is>
          <t>Etiqueta "Cuota 1 de 1 (100%)" pero es la 1ra mitad del saldo de $2.000</t>
        </is>
      </c>
    </row>
    <row r="53">
      <c r="A53" s="22" t="inlineStr">
        <is>
          <t>Merch</t>
        </is>
      </c>
      <c r="B53" s="23" t="n">
        <v>46243</v>
      </c>
      <c r="C53" s="12" t="inlineStr">
        <is>
          <t>Camisetas</t>
        </is>
      </c>
      <c r="D53" s="12" t="inlineStr">
        <is>
          <t>Cuota 2 de 2 (50%)</t>
        </is>
      </c>
      <c r="E53" s="10" t="n">
        <v>216.5</v>
      </c>
      <c r="F53" s="12" t="inlineStr">
        <is>
          <t>Pagado</t>
        </is>
      </c>
      <c r="G53" s="24">
        <f>IF(F53="Pagado","",TABLERO!$G$2-B53)</f>
        <v/>
      </c>
      <c r="H53" s="24">
        <f>IF(F53="Pagado","PAGADO",IF(B53&lt;TABLERO!$G$2,"VENCIDO",IF(B53&lt;=TABLERO!$G$2+30,"&lt; 30 dias","futuro")))</f>
        <v/>
      </c>
      <c r="I53" s="24" t="inlineStr">
        <is>
          <t>Colombia 1ra</t>
        </is>
      </c>
      <c r="J53" s="13" t="inlineStr">
        <is>
          <t>MASTER dice "Pendiente" (100% sin abonar, total $433)</t>
        </is>
      </c>
    </row>
    <row r="54">
      <c r="A54" s="22" t="inlineStr">
        <is>
          <t>Merch</t>
        </is>
      </c>
      <c r="B54" s="23" t="n">
        <v>46243</v>
      </c>
      <c r="C54" s="12" t="inlineStr">
        <is>
          <t>100 Tarjetas platino</t>
        </is>
      </c>
      <c r="D54" s="12" t="inlineStr">
        <is>
          <t>Cuota 2 de 2 (50%)</t>
        </is>
      </c>
      <c r="E54" s="10" t="n">
        <v>305.5</v>
      </c>
      <c r="F54" s="12" t="inlineStr">
        <is>
          <t>Pagado</t>
        </is>
      </c>
      <c r="G54" s="24">
        <f>IF(F54="Pagado","",TABLERO!$G$2-B54)</f>
        <v/>
      </c>
      <c r="H54" s="24">
        <f>IF(F54="Pagado","PAGADO",IF(B54&lt;TABLERO!$G$2,"VENCIDO",IF(B54&lt;=TABLERO!$G$2+30,"&lt; 30 dias","futuro")))</f>
        <v/>
      </c>
      <c r="I54" s="24" t="inlineStr">
        <is>
          <t>Colombia 1ra</t>
        </is>
      </c>
      <c r="J54" s="13" t="inlineStr">
        <is>
          <t>MASTER dice "Pendiente" (100% sin abonar, total $611)</t>
        </is>
      </c>
    </row>
    <row r="55">
      <c r="A55" s="22" t="inlineStr">
        <is>
          <t>Merch</t>
        </is>
      </c>
      <c r="B55" s="23" t="n">
        <v>46249</v>
      </c>
      <c r="C55" s="12" t="inlineStr">
        <is>
          <t>D'vinni sas - saldo</t>
        </is>
      </c>
      <c r="D55" s="12" t="inlineStr">
        <is>
          <t>Pago total</t>
        </is>
      </c>
      <c r="E55" s="10" t="n">
        <v>1094</v>
      </c>
      <c r="F55" s="12" t="inlineStr">
        <is>
          <t>Pagado</t>
        </is>
      </c>
      <c r="G55" s="24">
        <f>IF(F55="Pagado","",TABLERO!$G$2-B55)</f>
        <v/>
      </c>
      <c r="H55" s="24">
        <f>IF(F55="Pagado","PAGADO",IF(B55&lt;TABLERO!$G$2,"VENCIDO",IF(B55&lt;=TABLERO!$G$2+30,"&lt; 30 dias","futuro")))</f>
        <v/>
      </c>
      <c r="I55" s="24" t="inlineStr">
        <is>
          <t>Colombia 1ra</t>
        </is>
      </c>
      <c r="J55" s="24" t="inlineStr"/>
    </row>
    <row r="56">
      <c r="A56" s="22" t="inlineStr">
        <is>
          <t>Merch</t>
        </is>
      </c>
      <c r="B56" s="23" t="n">
        <v>46254</v>
      </c>
      <c r="C56" s="12" t="inlineStr">
        <is>
          <t>Pañuelos Colombia - saldo</t>
        </is>
      </c>
      <c r="D56" s="12" t="inlineStr">
        <is>
          <t>Pago total</t>
        </is>
      </c>
      <c r="E56" s="10" t="n">
        <v>3475</v>
      </c>
      <c r="F56" s="12" t="inlineStr">
        <is>
          <t>Pagado</t>
        </is>
      </c>
      <c r="G56" s="24">
        <f>IF(F56="Pagado","",TABLERO!$G$2-B56)</f>
        <v/>
      </c>
      <c r="H56" s="24">
        <f>IF(F56="Pagado","PAGADO",IF(B56&lt;TABLERO!$G$2,"VENCIDO",IF(B56&lt;=TABLERO!$G$2+30,"&lt; 30 dias","futuro")))</f>
        <v/>
      </c>
      <c r="I56" s="24" t="inlineStr">
        <is>
          <t>Colombia 1ra</t>
        </is>
      </c>
      <c r="J56" s="24" t="inlineStr"/>
    </row>
    <row r="57">
      <c r="A57" s="16" t="inlineStr">
        <is>
          <t>Subtotal Colombia 1ra</t>
        </is>
      </c>
      <c r="B57" s="25" t="n"/>
      <c r="C57" s="25" t="n"/>
      <c r="D57" s="25" t="n"/>
      <c r="E57" s="17">
        <f>SUMIF($F$45:$F$56,"&lt;&gt;",$E$45:$E$56)</f>
        <v/>
      </c>
      <c r="F57" s="17">
        <f>SUMIF($F$45:$F$56,"Programado",$E$45:$E$56)</f>
        <v/>
      </c>
      <c r="G57" s="26" t="inlineStr">
        <is>
          <t>pendiente →</t>
        </is>
      </c>
      <c r="H57" s="25" t="n"/>
      <c r="I57" s="25" t="n"/>
      <c r="J57" s="25" t="n"/>
    </row>
    <row r="58" ht="24" customHeight="1">
      <c r="A58" s="19" t="inlineStr">
        <is>
          <t>México   ·   evento 05 sep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18" customHeight="1">
      <c r="A59" s="20" t="inlineStr">
        <is>
          <t xml:space="preserve">      LUGAR</t>
        </is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</row>
    <row r="60">
      <c r="A60" s="27" t="inlineStr">
        <is>
          <t>Lugar</t>
        </is>
      </c>
      <c r="B60" s="28" t="n">
        <v>46230</v>
      </c>
      <c r="C60" s="29" t="inlineStr">
        <is>
          <t>World Trade Center Mexiquense - saldo (50%)</t>
        </is>
      </c>
      <c r="D60" s="29" t="inlineStr">
        <is>
          <t>Cuota 1 de 2 (50%)</t>
        </is>
      </c>
      <c r="E60" s="14" t="n">
        <v>13392.5</v>
      </c>
      <c r="F60" s="29" t="inlineStr">
        <is>
          <t>Programado</t>
        </is>
      </c>
      <c r="G60" s="15">
        <f>IF(F60="Pagado","",TABLERO!$G$2-B60)</f>
        <v/>
      </c>
      <c r="H60" s="15">
        <f>IF(F60="Pagado","PAGADO",IF(B60&lt;TABLERO!$G$2,"VENCIDO",IF(B60&lt;=TABLERO!$G$2+30,"&lt; 30 dias","futuro")))</f>
        <v/>
      </c>
      <c r="I60" s="15" t="inlineStr">
        <is>
          <t>México</t>
        </is>
      </c>
      <c r="J60" s="15" t="inlineStr"/>
    </row>
    <row r="61">
      <c r="A61" s="27" t="inlineStr">
        <is>
          <t>Lugar</t>
        </is>
      </c>
      <c r="B61" s="28" t="n">
        <v>46260</v>
      </c>
      <c r="C61" s="29" t="inlineStr">
        <is>
          <t>World Trade Center Mexiquense - saldo (50%)</t>
        </is>
      </c>
      <c r="D61" s="29" t="inlineStr">
        <is>
          <t>Cuota 2 de 2 (50%)</t>
        </is>
      </c>
      <c r="E61" s="14" t="n">
        <v>13392.5</v>
      </c>
      <c r="F61" s="29" t="inlineStr">
        <is>
          <t>Programado</t>
        </is>
      </c>
      <c r="G61" s="15">
        <f>IF(F61="Pagado","",TABLERO!$G$2-B61)</f>
        <v/>
      </c>
      <c r="H61" s="15">
        <f>IF(F61="Pagado","PAGADO",IF(B61&lt;TABLERO!$G$2,"VENCIDO",IF(B61&lt;=TABLERO!$G$2+30,"&lt; 30 dias","futuro")))</f>
        <v/>
      </c>
      <c r="I61" s="15" t="inlineStr">
        <is>
          <t>México</t>
        </is>
      </c>
      <c r="J61" s="15" t="inlineStr"/>
    </row>
    <row r="62">
      <c r="A62" s="16" t="inlineStr">
        <is>
          <t>Subtotal México</t>
        </is>
      </c>
      <c r="B62" s="25" t="n"/>
      <c r="C62" s="25" t="n"/>
      <c r="D62" s="25" t="n"/>
      <c r="E62" s="17">
        <f>SUMIF($F$59:$F$61,"&lt;&gt;",$E$59:$E$61)</f>
        <v/>
      </c>
      <c r="F62" s="17">
        <f>SUMIF($F$59:$F$61,"Programado",$E$59:$E$61)</f>
        <v/>
      </c>
      <c r="G62" s="26" t="inlineStr">
        <is>
          <t>pendiente →</t>
        </is>
      </c>
      <c r="H62" s="25" t="n"/>
      <c r="I62" s="25" t="n"/>
      <c r="J62" s="25" t="n"/>
    </row>
    <row r="63" ht="24" customHeight="1">
      <c r="A63" s="19" t="inlineStr">
        <is>
          <t>Chile   ·   evento 12 sep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18" customHeight="1">
      <c r="A64" s="20" t="inlineStr">
        <is>
          <t xml:space="preserve">      LUGAR</t>
        </is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</row>
    <row r="65">
      <c r="A65" s="27" t="inlineStr">
        <is>
          <t>Lugar</t>
        </is>
      </c>
      <c r="B65" s="28" t="n">
        <v>46237</v>
      </c>
      <c r="C65" s="29" t="inlineStr">
        <is>
          <t>Espacio Riesco - saldo (70%)</t>
        </is>
      </c>
      <c r="D65" s="29" t="inlineStr">
        <is>
          <t>Cuota 1 de 2 (50%)</t>
        </is>
      </c>
      <c r="E65" s="14" t="n">
        <v>22974</v>
      </c>
      <c r="F65" s="29" t="inlineStr">
        <is>
          <t>Programado</t>
        </is>
      </c>
      <c r="G65" s="15">
        <f>IF(F65="Pagado","",TABLERO!$G$2-B65)</f>
        <v/>
      </c>
      <c r="H65" s="15">
        <f>IF(F65="Pagado","PAGADO",IF(B65&lt;TABLERO!$G$2,"VENCIDO",IF(B65&lt;=TABLERO!$G$2+30,"&lt; 30 dias","futuro")))</f>
        <v/>
      </c>
      <c r="I65" s="15" t="inlineStr">
        <is>
          <t>Chile</t>
        </is>
      </c>
      <c r="J65" s="15" t="inlineStr"/>
    </row>
    <row r="66">
      <c r="A66" s="30" t="inlineStr">
        <is>
          <t>Lugar</t>
        </is>
      </c>
      <c r="B66" s="31" t="n">
        <v>46267</v>
      </c>
      <c r="C66" s="32" t="inlineStr">
        <is>
          <t>Espacio Riesco - saldo (70%)</t>
        </is>
      </c>
      <c r="D66" s="32" t="inlineStr">
        <is>
          <t>Cuota 2 de 2 (50%)</t>
        </is>
      </c>
      <c r="E66" s="33" t="n">
        <v>22974</v>
      </c>
      <c r="F66" s="32" t="inlineStr">
        <is>
          <t>Programado</t>
        </is>
      </c>
      <c r="G66" s="13">
        <f>IF(F66="Pagado","",TABLERO!$G$2-B66)</f>
        <v/>
      </c>
      <c r="H66" s="13">
        <f>IF(F66="Pagado","PAGADO",IF(B66&lt;TABLERO!$G$2,"VENCIDO",IF(B66&lt;=TABLERO!$G$2+30,"&lt; 30 dias","futuro")))</f>
        <v/>
      </c>
      <c r="I66" s="13" t="inlineStr">
        <is>
          <t>Chile</t>
        </is>
      </c>
      <c r="J66" s="13" t="inlineStr"/>
    </row>
    <row r="67">
      <c r="A67" s="16" t="inlineStr">
        <is>
          <t>Subtotal Chile</t>
        </is>
      </c>
      <c r="B67" s="25" t="n"/>
      <c r="C67" s="25" t="n"/>
      <c r="D67" s="25" t="n"/>
      <c r="E67" s="17">
        <f>SUMIF($F$64:$F$66,"&lt;&gt;",$E$64:$E$66)</f>
        <v/>
      </c>
      <c r="F67" s="17">
        <f>SUMIF($F$64:$F$66,"Programado",$E$64:$E$66)</f>
        <v/>
      </c>
      <c r="G67" s="26" t="inlineStr">
        <is>
          <t>pendiente →</t>
        </is>
      </c>
      <c r="H67" s="25" t="n"/>
      <c r="I67" s="25" t="n"/>
      <c r="J67" s="25" t="n"/>
    </row>
    <row r="68" ht="24" customHeight="1">
      <c r="A68" s="19" t="inlineStr">
        <is>
          <t>Uruguay   ·   evento 19 sep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 ht="18" customHeight="1">
      <c r="A69" s="20" t="inlineStr">
        <is>
          <t xml:space="preserve">      LUGAR</t>
        </is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</row>
    <row r="70">
      <c r="A70" s="27" t="inlineStr">
        <is>
          <t>Lugar</t>
        </is>
      </c>
      <c r="B70" s="28" t="n">
        <v>46244</v>
      </c>
      <c r="C70" s="29" t="inlineStr">
        <is>
          <t>Centro Convenciones - saldo (70%)</t>
        </is>
      </c>
      <c r="D70" s="29" t="inlineStr">
        <is>
          <t>Cuota 1 de 2 (50%)</t>
        </is>
      </c>
      <c r="E70" s="14" t="n">
        <v>30306</v>
      </c>
      <c r="F70" s="29" t="inlineStr">
        <is>
          <t>Programado</t>
        </is>
      </c>
      <c r="G70" s="15">
        <f>IF(F70="Pagado","",TABLERO!$G$2-B70)</f>
        <v/>
      </c>
      <c r="H70" s="15">
        <f>IF(F70="Pagado","PAGADO",IF(B70&lt;TABLERO!$G$2,"VENCIDO",IF(B70&lt;=TABLERO!$G$2+30,"&lt; 30 dias","futuro")))</f>
        <v/>
      </c>
      <c r="I70" s="15" t="inlineStr">
        <is>
          <t>Uruguay</t>
        </is>
      </c>
      <c r="J70" s="15" t="inlineStr"/>
    </row>
    <row r="71">
      <c r="A71" s="30" t="inlineStr">
        <is>
          <t>Lugar</t>
        </is>
      </c>
      <c r="B71" s="31" t="n">
        <v>46274</v>
      </c>
      <c r="C71" s="32" t="inlineStr">
        <is>
          <t>Centro Convenciones - saldo (70%)</t>
        </is>
      </c>
      <c r="D71" s="32" t="inlineStr">
        <is>
          <t>Cuota 2 de 2 (50%)</t>
        </is>
      </c>
      <c r="E71" s="33" t="n">
        <v>30306</v>
      </c>
      <c r="F71" s="32" t="inlineStr">
        <is>
          <t>Programado</t>
        </is>
      </c>
      <c r="G71" s="13">
        <f>IF(F71="Pagado","",TABLERO!$G$2-B71)</f>
        <v/>
      </c>
      <c r="H71" s="13">
        <f>IF(F71="Pagado","PAGADO",IF(B71&lt;TABLERO!$G$2,"VENCIDO",IF(B71&lt;=TABLERO!$G$2+30,"&lt; 30 dias","futuro")))</f>
        <v/>
      </c>
      <c r="I71" s="13" t="inlineStr">
        <is>
          <t>Uruguay</t>
        </is>
      </c>
      <c r="J71" s="13" t="inlineStr"/>
    </row>
    <row r="72">
      <c r="A72" s="16" t="inlineStr">
        <is>
          <t>Subtotal Uruguay</t>
        </is>
      </c>
      <c r="B72" s="25" t="n"/>
      <c r="C72" s="25" t="n"/>
      <c r="D72" s="25" t="n"/>
      <c r="E72" s="17">
        <f>SUMIF($F$69:$F$71,"&lt;&gt;",$E$69:$E$71)</f>
        <v/>
      </c>
      <c r="F72" s="17">
        <f>SUMIF($F$69:$F$71,"Programado",$E$69:$E$71)</f>
        <v/>
      </c>
      <c r="G72" s="26" t="inlineStr">
        <is>
          <t>pendiente →</t>
        </is>
      </c>
      <c r="H72" s="25" t="n"/>
      <c r="I72" s="25" t="n"/>
      <c r="J72" s="25" t="n"/>
    </row>
    <row r="73" ht="24" customHeight="1">
      <c r="A73" s="19" t="inlineStr">
        <is>
          <t>Argentina   ·   evento 03 oct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 ht="18" customHeight="1">
      <c r="A74" s="20" t="inlineStr">
        <is>
          <t xml:space="preserve">      LUGAR</t>
        </is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</row>
    <row r="75">
      <c r="A75" s="27" t="inlineStr">
        <is>
          <t>Lugar</t>
        </is>
      </c>
      <c r="B75" s="28" t="n">
        <v>46258</v>
      </c>
      <c r="C75" s="29" t="inlineStr">
        <is>
          <t>La Rural - saldo</t>
        </is>
      </c>
      <c r="D75" s="29" t="inlineStr">
        <is>
          <t>Cuota 1 de 2 (50%)</t>
        </is>
      </c>
      <c r="E75" s="14" t="n">
        <v>15777</v>
      </c>
      <c r="F75" s="29" t="inlineStr">
        <is>
          <t>Programado</t>
        </is>
      </c>
      <c r="G75" s="15">
        <f>IF(F75="Pagado","",TABLERO!$G$2-B75)</f>
        <v/>
      </c>
      <c r="H75" s="15">
        <f>IF(F75="Pagado","PAGADO",IF(B75&lt;TABLERO!$G$2,"VENCIDO",IF(B75&lt;=TABLERO!$G$2+30,"&lt; 30 dias","futuro")))</f>
        <v/>
      </c>
      <c r="I75" s="15" t="inlineStr">
        <is>
          <t>Argentina</t>
        </is>
      </c>
      <c r="J75" s="15" t="inlineStr"/>
    </row>
    <row r="76">
      <c r="A76" s="30" t="inlineStr">
        <is>
          <t>Lugar</t>
        </is>
      </c>
      <c r="B76" s="31" t="n">
        <v>46288</v>
      </c>
      <c r="C76" s="32" t="inlineStr">
        <is>
          <t>La Rural - saldo</t>
        </is>
      </c>
      <c r="D76" s="32" t="inlineStr">
        <is>
          <t>Cuota 2 de 2 (50%)</t>
        </is>
      </c>
      <c r="E76" s="33" t="n">
        <v>15777</v>
      </c>
      <c r="F76" s="32" t="inlineStr">
        <is>
          <t>Programado</t>
        </is>
      </c>
      <c r="G76" s="13">
        <f>IF(F76="Pagado","",TABLERO!$G$2-B76)</f>
        <v/>
      </c>
      <c r="H76" s="13">
        <f>IF(F76="Pagado","PAGADO",IF(B76&lt;TABLERO!$G$2,"VENCIDO",IF(B76&lt;=TABLERO!$G$2+30,"&lt; 30 dias","futuro")))</f>
        <v/>
      </c>
      <c r="I76" s="13" t="inlineStr">
        <is>
          <t>Argentina</t>
        </is>
      </c>
      <c r="J76" s="13" t="inlineStr"/>
    </row>
    <row r="77" ht="18" customHeight="1">
      <c r="A77" s="20" t="inlineStr">
        <is>
          <t xml:space="preserve">      PRODUCCIÓN</t>
        </is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</row>
    <row r="78">
      <c r="A78" s="27" t="inlineStr">
        <is>
          <t>Producción</t>
        </is>
      </c>
      <c r="B78" s="28" t="n">
        <v>46258</v>
      </c>
      <c r="C78" s="29" t="inlineStr">
        <is>
          <t>Intercoms</t>
        </is>
      </c>
      <c r="D78" s="29" t="inlineStr">
        <is>
          <t>Cuota 1 de 2 (50%)</t>
        </is>
      </c>
      <c r="E78" s="14" t="n">
        <v>280</v>
      </c>
      <c r="F78" s="29" t="inlineStr">
        <is>
          <t>Programado</t>
        </is>
      </c>
      <c r="G78" s="15">
        <f>IF(F78="Pagado","",TABLERO!$G$2-B78)</f>
        <v/>
      </c>
      <c r="H78" s="15">
        <f>IF(F78="Pagado","PAGADO",IF(B78&lt;TABLERO!$G$2,"VENCIDO",IF(B78&lt;=TABLERO!$G$2+30,"&lt; 30 dias","futuro")))</f>
        <v/>
      </c>
      <c r="I78" s="15" t="inlineStr">
        <is>
          <t>Argentina</t>
        </is>
      </c>
      <c r="J78" s="13" t="inlineStr">
        <is>
          <t>MASTER dice "Pendiente" (100%, total $560) y lo trata como pago único</t>
        </is>
      </c>
    </row>
    <row r="79">
      <c r="A79" s="30" t="inlineStr">
        <is>
          <t>Producción</t>
        </is>
      </c>
      <c r="B79" s="31" t="n">
        <v>46288</v>
      </c>
      <c r="C79" s="32" t="inlineStr">
        <is>
          <t>Intercoms</t>
        </is>
      </c>
      <c r="D79" s="32" t="inlineStr">
        <is>
          <t>Cuota 2 de 2 (50%)</t>
        </is>
      </c>
      <c r="E79" s="33" t="n">
        <v>280</v>
      </c>
      <c r="F79" s="32" t="inlineStr">
        <is>
          <t>Programado</t>
        </is>
      </c>
      <c r="G79" s="13">
        <f>IF(F79="Pagado","",TABLERO!$G$2-B79)</f>
        <v/>
      </c>
      <c r="H79" s="13">
        <f>IF(F79="Pagado","PAGADO",IF(B79&lt;TABLERO!$G$2,"VENCIDO",IF(B79&lt;=TABLERO!$G$2+30,"&lt; 30 dias","futuro")))</f>
        <v/>
      </c>
      <c r="I79" s="13" t="inlineStr">
        <is>
          <t>Argentina</t>
        </is>
      </c>
      <c r="J79" s="13" t="inlineStr">
        <is>
          <t>MASTER dice "Pendiente" (100%, total $560) y lo trata como pago único</t>
        </is>
      </c>
    </row>
    <row r="80" ht="18" customHeight="1">
      <c r="A80" s="20" t="inlineStr">
        <is>
          <t xml:space="preserve">      MERCH</t>
        </is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</row>
    <row r="81">
      <c r="A81" s="30" t="inlineStr">
        <is>
          <t>Merch</t>
        </is>
      </c>
      <c r="B81" s="31" t="n">
        <v>46278</v>
      </c>
      <c r="C81" s="32" t="inlineStr">
        <is>
          <t>Pañuelos - saldo</t>
        </is>
      </c>
      <c r="D81" s="32" t="inlineStr">
        <is>
          <t>Pago total (100%)</t>
        </is>
      </c>
      <c r="E81" s="33" t="n">
        <v>5491</v>
      </c>
      <c r="F81" s="32" t="inlineStr">
        <is>
          <t>Programado</t>
        </is>
      </c>
      <c r="G81" s="13">
        <f>IF(F81="Pagado","",TABLERO!$G$2-B81)</f>
        <v/>
      </c>
      <c r="H81" s="13">
        <f>IF(F81="Pagado","PAGADO",IF(B81&lt;TABLERO!$G$2,"VENCIDO",IF(B81&lt;=TABLERO!$G$2+30,"&lt; 30 dias","futuro")))</f>
        <v/>
      </c>
      <c r="I81" s="13" t="inlineStr">
        <is>
          <t>Argentina</t>
        </is>
      </c>
      <c r="J81" s="13" t="inlineStr"/>
    </row>
    <row r="82">
      <c r="A82" s="30" t="inlineStr">
        <is>
          <t>Merch</t>
        </is>
      </c>
      <c r="B82" s="31" t="n">
        <v>46278</v>
      </c>
      <c r="C82" s="32" t="inlineStr">
        <is>
          <t>Lanyards - saldo</t>
        </is>
      </c>
      <c r="D82" s="32" t="inlineStr">
        <is>
          <t>Pago total (100%)</t>
        </is>
      </c>
      <c r="E82" s="33" t="n">
        <v>850</v>
      </c>
      <c r="F82" s="32" t="inlineStr">
        <is>
          <t>Programado</t>
        </is>
      </c>
      <c r="G82" s="13">
        <f>IF(F82="Pagado","",TABLERO!$G$2-B82)</f>
        <v/>
      </c>
      <c r="H82" s="13">
        <f>IF(F82="Pagado","PAGADO",IF(B82&lt;TABLERO!$G$2,"VENCIDO",IF(B82&lt;=TABLERO!$G$2+30,"&lt; 30 dias","futuro")))</f>
        <v/>
      </c>
      <c r="I82" s="13" t="inlineStr">
        <is>
          <t>Argentina</t>
        </is>
      </c>
      <c r="J82" s="13" t="inlineStr"/>
    </row>
    <row r="83">
      <c r="A83" s="30" t="inlineStr">
        <is>
          <t>Merch</t>
        </is>
      </c>
      <c r="B83" s="31" t="n">
        <v>46278</v>
      </c>
      <c r="C83" s="32" t="inlineStr">
        <is>
          <t>Gráfica ARG - saldo</t>
        </is>
      </c>
      <c r="D83" s="32" t="inlineStr">
        <is>
          <t>Pago total (100%)</t>
        </is>
      </c>
      <c r="E83" s="33" t="n">
        <v>1839</v>
      </c>
      <c r="F83" s="32" t="inlineStr">
        <is>
          <t>Programado</t>
        </is>
      </c>
      <c r="G83" s="13">
        <f>IF(F83="Pagado","",TABLERO!$G$2-B83)</f>
        <v/>
      </c>
      <c r="H83" s="13">
        <f>IF(F83="Pagado","PAGADO",IF(B83&lt;TABLERO!$G$2,"VENCIDO",IF(B83&lt;=TABLERO!$G$2+30,"&lt; 30 dias","futuro")))</f>
        <v/>
      </c>
      <c r="I83" s="13" t="inlineStr">
        <is>
          <t>Argentina</t>
        </is>
      </c>
      <c r="J83" s="13" t="inlineStr"/>
    </row>
    <row r="84">
      <c r="A84" s="30" t="inlineStr">
        <is>
          <t>Merch</t>
        </is>
      </c>
      <c r="B84" s="31" t="n">
        <v>46278</v>
      </c>
      <c r="C84" s="32" t="inlineStr">
        <is>
          <t>Gráfica URU - saldo</t>
        </is>
      </c>
      <c r="D84" s="32" t="inlineStr">
        <is>
          <t>Pago total (100%)</t>
        </is>
      </c>
      <c r="E84" s="33" t="n">
        <v>42</v>
      </c>
      <c r="F84" s="32" t="inlineStr">
        <is>
          <t>Programado</t>
        </is>
      </c>
      <c r="G84" s="13">
        <f>IF(F84="Pagado","",TABLERO!$G$2-B84)</f>
        <v/>
      </c>
      <c r="H84" s="13">
        <f>IF(F84="Pagado","PAGADO",IF(B84&lt;TABLERO!$G$2,"VENCIDO",IF(B84&lt;=TABLERO!$G$2+30,"&lt; 30 dias","futuro")))</f>
        <v/>
      </c>
      <c r="I84" s="13" t="inlineStr">
        <is>
          <t>Argentina</t>
        </is>
      </c>
      <c r="J84" s="13" t="inlineStr"/>
    </row>
    <row r="85">
      <c r="A85" s="16" t="inlineStr">
        <is>
          <t>Subtotal Argentina</t>
        </is>
      </c>
      <c r="B85" s="25" t="n"/>
      <c r="C85" s="25" t="n"/>
      <c r="D85" s="25" t="n"/>
      <c r="E85" s="17">
        <f>SUMIF($F$74:$F$84,"&lt;&gt;",$E$74:$E$84)</f>
        <v/>
      </c>
      <c r="F85" s="17">
        <f>SUMIF($F$74:$F$84,"Programado",$E$74:$E$84)</f>
        <v/>
      </c>
      <c r="G85" s="26" t="inlineStr">
        <is>
          <t>pendiente →</t>
        </is>
      </c>
      <c r="H85" s="25" t="n"/>
      <c r="I85" s="25" t="n"/>
      <c r="J85" s="25" t="n"/>
    </row>
    <row r="86" ht="24" customHeight="1">
      <c r="A86" s="19" t="inlineStr">
        <is>
          <t>Salvador   ·   evento 10 oct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 ht="18" customHeight="1">
      <c r="A87" s="20" t="inlineStr">
        <is>
          <t xml:space="preserve">      LUGAR</t>
        </is>
      </c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</row>
    <row r="88">
      <c r="A88" s="27" t="inlineStr">
        <is>
          <t>Lugar</t>
        </is>
      </c>
      <c r="B88" s="28" t="n">
        <v>46265</v>
      </c>
      <c r="C88" s="29" t="inlineStr">
        <is>
          <t>Círculo Militar - saldo</t>
        </is>
      </c>
      <c r="D88" s="29" t="inlineStr">
        <is>
          <t>Cuota 1 de 2 (50%)</t>
        </is>
      </c>
      <c r="E88" s="14" t="n">
        <v>8606.5</v>
      </c>
      <c r="F88" s="29" t="inlineStr">
        <is>
          <t>Programado</t>
        </is>
      </c>
      <c r="G88" s="15">
        <f>IF(F88="Pagado","",TABLERO!$G$2-B88)</f>
        <v/>
      </c>
      <c r="H88" s="15">
        <f>IF(F88="Pagado","PAGADO",IF(B88&lt;TABLERO!$G$2,"VENCIDO",IF(B88&lt;=TABLERO!$G$2+30,"&lt; 30 dias","futuro")))</f>
        <v/>
      </c>
      <c r="I88" s="15" t="inlineStr">
        <is>
          <t>Salvador</t>
        </is>
      </c>
      <c r="J88" s="15" t="inlineStr"/>
    </row>
    <row r="89">
      <c r="A89" s="30" t="inlineStr">
        <is>
          <t>Lugar</t>
        </is>
      </c>
      <c r="B89" s="31" t="n">
        <v>46295</v>
      </c>
      <c r="C89" s="32" t="inlineStr">
        <is>
          <t>Círculo Militar - saldo</t>
        </is>
      </c>
      <c r="D89" s="32" t="inlineStr">
        <is>
          <t>Cuota 2 de 2 (50%)</t>
        </is>
      </c>
      <c r="E89" s="33" t="n">
        <v>8606.5</v>
      </c>
      <c r="F89" s="32" t="inlineStr">
        <is>
          <t>Programado</t>
        </is>
      </c>
      <c r="G89" s="13">
        <f>IF(F89="Pagado","",TABLERO!$G$2-B89)</f>
        <v/>
      </c>
      <c r="H89" s="13">
        <f>IF(F89="Pagado","PAGADO",IF(B89&lt;TABLERO!$G$2,"VENCIDO",IF(B89&lt;=TABLERO!$G$2+30,"&lt; 30 dias","futuro")))</f>
        <v/>
      </c>
      <c r="I89" s="13" t="inlineStr">
        <is>
          <t>Salvador</t>
        </is>
      </c>
      <c r="J89" s="13" t="inlineStr"/>
    </row>
    <row r="90">
      <c r="A90" s="16" t="inlineStr">
        <is>
          <t>Subtotal Salvador</t>
        </is>
      </c>
      <c r="B90" s="25" t="n"/>
      <c r="C90" s="25" t="n"/>
      <c r="D90" s="25" t="n"/>
      <c r="E90" s="17">
        <f>SUMIF($F$87:$F$89,"&lt;&gt;",$E$87:$E$89)</f>
        <v/>
      </c>
      <c r="F90" s="17">
        <f>SUMIF($F$87:$F$89,"Programado",$E$87:$E$89)</f>
        <v/>
      </c>
      <c r="G90" s="26" t="inlineStr">
        <is>
          <t>pendiente →</t>
        </is>
      </c>
      <c r="H90" s="25" t="n"/>
      <c r="I90" s="25" t="n"/>
      <c r="J90" s="25" t="n"/>
    </row>
    <row r="91" ht="24" customHeight="1">
      <c r="A91" s="19" t="inlineStr">
        <is>
          <t>Costa Rica   ·   evento 07 nov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 ht="18" customHeight="1">
      <c r="A92" s="20" t="inlineStr">
        <is>
          <t xml:space="preserve">      LUGAR</t>
        </is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</row>
    <row r="93">
      <c r="A93" s="30" t="inlineStr">
        <is>
          <t>Lugar</t>
        </is>
      </c>
      <c r="B93" s="31" t="n">
        <v>46293</v>
      </c>
      <c r="C93" s="32" t="inlineStr">
        <is>
          <t>Centro Convenciones - saldo (50%)</t>
        </is>
      </c>
      <c r="D93" s="32" t="inlineStr">
        <is>
          <t>Cuota 1 de 2 (50%)</t>
        </is>
      </c>
      <c r="E93" s="33" t="n">
        <v>16247.5</v>
      </c>
      <c r="F93" s="32" t="inlineStr">
        <is>
          <t>Programado</t>
        </is>
      </c>
      <c r="G93" s="13">
        <f>IF(F93="Pagado","",TABLERO!$G$2-B93)</f>
        <v/>
      </c>
      <c r="H93" s="13">
        <f>IF(F93="Pagado","PAGADO",IF(B93&lt;TABLERO!$G$2,"VENCIDO",IF(B93&lt;=TABLERO!$G$2+30,"&lt; 30 dias","futuro")))</f>
        <v/>
      </c>
      <c r="I93" s="13" t="inlineStr">
        <is>
          <t>Costa Rica</t>
        </is>
      </c>
      <c r="J93" s="13" t="inlineStr"/>
    </row>
    <row r="94">
      <c r="A94" s="22" t="inlineStr">
        <is>
          <t>Lugar</t>
        </is>
      </c>
      <c r="B94" s="23" t="n">
        <v>46323</v>
      </c>
      <c r="C94" s="12" t="inlineStr">
        <is>
          <t>Centro Convenciones - saldo (50%)</t>
        </is>
      </c>
      <c r="D94" s="12" t="inlineStr">
        <is>
          <t>Cuota 2 de 2 (50%)</t>
        </is>
      </c>
      <c r="E94" s="10" t="n">
        <v>16247.5</v>
      </c>
      <c r="F94" s="12" t="inlineStr">
        <is>
          <t>Programado</t>
        </is>
      </c>
      <c r="G94" s="24">
        <f>IF(F94="Pagado","",TABLERO!$G$2-B94)</f>
        <v/>
      </c>
      <c r="H94" s="24">
        <f>IF(F94="Pagado","PAGADO",IF(B94&lt;TABLERO!$G$2,"VENCIDO",IF(B94&lt;=TABLERO!$G$2+30,"&lt; 30 dias","futuro")))</f>
        <v/>
      </c>
      <c r="I94" s="24" t="inlineStr">
        <is>
          <t>Costa Rica</t>
        </is>
      </c>
      <c r="J94" s="24" t="inlineStr"/>
    </row>
    <row r="95">
      <c r="A95" s="16" t="inlineStr">
        <is>
          <t>Subtotal Costa Rica</t>
        </is>
      </c>
      <c r="B95" s="25" t="n"/>
      <c r="C95" s="25" t="n"/>
      <c r="D95" s="25" t="n"/>
      <c r="E95" s="17">
        <f>SUMIF($F$92:$F$94,"&lt;&gt;",$E$92:$E$94)</f>
        <v/>
      </c>
      <c r="F95" s="17">
        <f>SUMIF($F$92:$F$94,"Programado",$E$92:$E$94)</f>
        <v/>
      </c>
      <c r="G95" s="26" t="inlineStr">
        <is>
          <t>pendiente →</t>
        </is>
      </c>
      <c r="H95" s="25" t="n"/>
      <c r="I95" s="25" t="n"/>
      <c r="J95" s="25" t="n"/>
    </row>
    <row r="96" ht="24" customHeight="1">
      <c r="A96" s="19" t="inlineStr">
        <is>
          <t>Guatemala   ·   evento 21 nov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 ht="18" customHeight="1">
      <c r="A97" s="20" t="inlineStr">
        <is>
          <t xml:space="preserve">      LUGAR</t>
        </is>
      </c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</row>
    <row r="98">
      <c r="A98" s="22" t="inlineStr">
        <is>
          <t>Lugar</t>
        </is>
      </c>
      <c r="B98" s="23" t="n">
        <v>46307</v>
      </c>
      <c r="C98" s="12" t="inlineStr">
        <is>
          <t>Parque de la Industria - saldo</t>
        </is>
      </c>
      <c r="D98" s="12" t="inlineStr">
        <is>
          <t>Cuota 1 de 2 (50%)</t>
        </is>
      </c>
      <c r="E98" s="10" t="n">
        <v>1750</v>
      </c>
      <c r="F98" s="12" t="inlineStr">
        <is>
          <t>Programado</t>
        </is>
      </c>
      <c r="G98" s="24">
        <f>IF(F98="Pagado","",TABLERO!$G$2-B98)</f>
        <v/>
      </c>
      <c r="H98" s="24">
        <f>IF(F98="Pagado","PAGADO",IF(B98&lt;TABLERO!$G$2,"VENCIDO",IF(B98&lt;=TABLERO!$G$2+30,"&lt; 30 dias","futuro")))</f>
        <v/>
      </c>
      <c r="I98" s="24" t="inlineStr">
        <is>
          <t>Guatemala</t>
        </is>
      </c>
      <c r="J98" s="24" t="inlineStr"/>
    </row>
    <row r="99">
      <c r="A99" s="22" t="inlineStr">
        <is>
          <t>Lugar</t>
        </is>
      </c>
      <c r="B99" s="23" t="n">
        <v>46337</v>
      </c>
      <c r="C99" s="12" t="inlineStr">
        <is>
          <t>Parque de la Industria - saldo</t>
        </is>
      </c>
      <c r="D99" s="12" t="inlineStr">
        <is>
          <t>Cuota 2 de 2 (50%)</t>
        </is>
      </c>
      <c r="E99" s="10" t="n">
        <v>1750</v>
      </c>
      <c r="F99" s="12" t="inlineStr">
        <is>
          <t>Programado</t>
        </is>
      </c>
      <c r="G99" s="24">
        <f>IF(F99="Pagado","",TABLERO!$G$2-B99)</f>
        <v/>
      </c>
      <c r="H99" s="24">
        <f>IF(F99="Pagado","PAGADO",IF(B99&lt;TABLERO!$G$2,"VENCIDO",IF(B99&lt;=TABLERO!$G$2+30,"&lt; 30 dias","futuro")))</f>
        <v/>
      </c>
      <c r="I99" s="24" t="inlineStr">
        <is>
          <t>Guatemala</t>
        </is>
      </c>
      <c r="J99" s="24" t="inlineStr"/>
    </row>
    <row r="100" ht="18" customHeight="1">
      <c r="A100" s="20" t="inlineStr">
        <is>
          <t xml:space="preserve">      TRÁMITES</t>
        </is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</row>
    <row r="101">
      <c r="A101" s="22" t="inlineStr">
        <is>
          <t>Trámites</t>
        </is>
      </c>
      <c r="B101" s="23" t="n">
        <v>46307</v>
      </c>
      <c r="C101" s="12" t="inlineStr">
        <is>
          <t>Michelle Taylor - saldo (50%)</t>
        </is>
      </c>
      <c r="D101" s="12" t="inlineStr">
        <is>
          <t>Cuota 1 de 2 (50%)</t>
        </is>
      </c>
      <c r="E101" s="10" t="n">
        <v>250</v>
      </c>
      <c r="F101" s="12" t="inlineStr">
        <is>
          <t>Programado</t>
        </is>
      </c>
      <c r="G101" s="24">
        <f>IF(F101="Pagado","",TABLERO!$G$2-B101)</f>
        <v/>
      </c>
      <c r="H101" s="24">
        <f>IF(F101="Pagado","PAGADO",IF(B101&lt;TABLERO!$G$2,"VENCIDO",IF(B101&lt;=TABLERO!$G$2+30,"&lt; 30 dias","futuro")))</f>
        <v/>
      </c>
      <c r="I101" s="24" t="inlineStr">
        <is>
          <t>Guatemala</t>
        </is>
      </c>
      <c r="J101" s="24" t="inlineStr"/>
    </row>
    <row r="102">
      <c r="A102" s="22" t="inlineStr">
        <is>
          <t>Trámites</t>
        </is>
      </c>
      <c r="B102" s="23" t="n">
        <v>46337</v>
      </c>
      <c r="C102" s="12" t="inlineStr">
        <is>
          <t>Michelle Taylor - saldo (50%)</t>
        </is>
      </c>
      <c r="D102" s="12" t="inlineStr">
        <is>
          <t>Cuota 2 de 2 (50%)</t>
        </is>
      </c>
      <c r="E102" s="10" t="n">
        <v>250</v>
      </c>
      <c r="F102" s="12" t="inlineStr">
        <is>
          <t>Programado</t>
        </is>
      </c>
      <c r="G102" s="24">
        <f>IF(F102="Pagado","",TABLERO!$G$2-B102)</f>
        <v/>
      </c>
      <c r="H102" s="24">
        <f>IF(F102="Pagado","PAGADO",IF(B102&lt;TABLERO!$G$2,"VENCIDO",IF(B102&lt;=TABLERO!$G$2+30,"&lt; 30 dias","futuro")))</f>
        <v/>
      </c>
      <c r="I102" s="24" t="inlineStr">
        <is>
          <t>Guatemala</t>
        </is>
      </c>
      <c r="J102" s="24" t="inlineStr"/>
    </row>
    <row r="103">
      <c r="A103" s="16" t="inlineStr">
        <is>
          <t>Subtotal Guatemala</t>
        </is>
      </c>
      <c r="B103" s="25" t="n"/>
      <c r="C103" s="25" t="n"/>
      <c r="D103" s="25" t="n"/>
      <c r="E103" s="17">
        <f>SUMIF($F$97:$F$102,"&lt;&gt;",$E$97:$E$102)</f>
        <v/>
      </c>
      <c r="F103" s="17">
        <f>SUMIF($F$97:$F$102,"Programado",$E$97:$E$102)</f>
        <v/>
      </c>
      <c r="G103" s="26" t="inlineStr">
        <is>
          <t>pendiente →</t>
        </is>
      </c>
      <c r="H103" s="25" t="n"/>
      <c r="I103" s="25" t="n"/>
      <c r="J103" s="25" t="n"/>
    </row>
    <row r="105" ht="24" customHeight="1">
      <c r="C105" s="34" t="inlineStr">
        <is>
          <t>TOTAL del calendario</t>
        </is>
      </c>
      <c r="D105" s="35" t="n"/>
      <c r="E105" s="36">
        <f>E16+E32+E43+E57+E62+E67+E72+E85+E90+E95+E103</f>
        <v/>
      </c>
    </row>
    <row r="106" ht="24" customHeight="1">
      <c r="C106" s="37" t="inlineStr">
        <is>
          <t>Pagado</t>
        </is>
      </c>
      <c r="D106" s="38" t="n"/>
      <c r="E106" s="39">
        <f>SUMIF($F$5:$F$103,"Pagado",$E$5:$E$103)</f>
        <v/>
      </c>
    </row>
    <row r="107" ht="24" customHeight="1">
      <c r="C107" s="40" t="inlineStr">
        <is>
          <t>Pendiente real</t>
        </is>
      </c>
      <c r="D107" s="41" t="n"/>
      <c r="E107" s="42">
        <f>F16+F32+F43+F57+F62+F67+F72+F85+F90+F95+F103</f>
        <v/>
      </c>
    </row>
    <row r="108" ht="24" customHeight="1">
      <c r="C108" s="43" t="inlineStr">
        <is>
          <t>De eso, VENCIDO</t>
        </is>
      </c>
      <c r="D108" s="44" t="n"/>
      <c r="E108" s="45">
        <f>SUMIFS($E$5:$E$103,$F$5:$F$103,"Programado",$B$5:$B$103,"&lt;"&amp;TABLERO!$G$2)</f>
        <v/>
      </c>
    </row>
  </sheetData>
  <autoFilter ref="A4:J4"/>
  <mergeCells count="35">
    <mergeCell ref="A5:J5"/>
    <mergeCell ref="A23:J23"/>
    <mergeCell ref="A8:J8"/>
    <mergeCell ref="A97:J97"/>
    <mergeCell ref="A17:J17"/>
    <mergeCell ref="A100:J100"/>
    <mergeCell ref="A91:J91"/>
    <mergeCell ref="A29:J29"/>
    <mergeCell ref="A96:J96"/>
    <mergeCell ref="A10:J10"/>
    <mergeCell ref="A68:J68"/>
    <mergeCell ref="A63:J63"/>
    <mergeCell ref="A44:J44"/>
    <mergeCell ref="A58:J58"/>
    <mergeCell ref="A40:J40"/>
    <mergeCell ref="A92:J92"/>
    <mergeCell ref="A77:J77"/>
    <mergeCell ref="A34:J34"/>
    <mergeCell ref="A59:J59"/>
    <mergeCell ref="A48:J48"/>
    <mergeCell ref="A73:J73"/>
    <mergeCell ref="A64:J64"/>
    <mergeCell ref="A1:J1"/>
    <mergeCell ref="A45:J45"/>
    <mergeCell ref="A6:J6"/>
    <mergeCell ref="A69:J69"/>
    <mergeCell ref="A87:J87"/>
    <mergeCell ref="A80:J80"/>
    <mergeCell ref="A37:J37"/>
    <mergeCell ref="A74:J74"/>
    <mergeCell ref="A18:J18"/>
    <mergeCell ref="A12:J12"/>
    <mergeCell ref="A26:J26"/>
    <mergeCell ref="A86:J86"/>
    <mergeCell ref="A33:J33"/>
  </mergeCells>
  <conditionalFormatting sqref="H5:H103">
    <cfRule type="expression" priority="1" dxfId="0">
      <formula>$H5="VENCIDO"</formula>
    </cfRule>
    <cfRule type="expression" priority="2" dxfId="1">
      <formula>$H5="&lt; 30 dias"</formula>
    </cfRule>
    <cfRule type="expression" priority="3" dxfId="2">
      <formula>$H5="PAGADO"</formula>
    </cfRule>
    <cfRule type="expression" priority="4" dxfId="3">
      <formula>$H5="futuro"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2" customWidth="1" min="3" max="3"/>
    <col width="12" customWidth="1" min="4" max="4"/>
    <col width="14" customWidth="1" min="5" max="5"/>
    <col width="16" customWidth="1" min="6" max="6"/>
    <col width="24" customWidth="1" min="7" max="7"/>
  </cols>
  <sheetData>
    <row r="1" ht="34" customHeight="1">
      <c r="A1" s="1" t="inlineStr">
        <is>
          <t>Histórico de pagos ejecutados (marzo–julio 2026)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Anticipos previos al arranque del calendario, agrupados por país y bloque. Conjunto disjunto del CALENDARIO UNIFICADO.</t>
        </is>
      </c>
    </row>
    <row r="4" ht="30" customHeight="1">
      <c r="A4" s="8" t="inlineStr">
        <is>
          <t>Bloque</t>
        </is>
      </c>
      <c r="B4" s="8" t="inlineStr">
        <is>
          <t>Fecha</t>
        </is>
      </c>
      <c r="C4" s="8" t="inlineStr">
        <is>
          <t>Proveedor / concepto</t>
        </is>
      </c>
      <c r="D4" s="8" t="inlineStr">
        <is>
          <t>% del total</t>
        </is>
      </c>
      <c r="E4" s="8" t="inlineStr">
        <is>
          <t>Monto USD</t>
        </is>
      </c>
      <c r="F4" s="8" t="inlineStr">
        <is>
          <t>País</t>
        </is>
      </c>
      <c r="G4" s="8" t="inlineStr">
        <is>
          <t>País en el archivo original</t>
        </is>
      </c>
    </row>
    <row r="5" ht="24" customHeight="1">
      <c r="A5" s="19" t="inlineStr">
        <is>
          <t>Ecuador   ·   evento 25 jul</t>
        </is>
      </c>
      <c r="B5" s="2" t="n"/>
      <c r="C5" s="2" t="n"/>
      <c r="D5" s="2" t="n"/>
      <c r="E5" s="2" t="n"/>
      <c r="F5" s="2" t="n"/>
      <c r="G5" s="2" t="n"/>
    </row>
    <row r="6" ht="18" customHeight="1">
      <c r="A6" s="20" t="inlineStr">
        <is>
          <t xml:space="preserve">      LUGAR</t>
        </is>
      </c>
      <c r="B6" s="21" t="n"/>
      <c r="C6" s="21" t="n"/>
      <c r="D6" s="21" t="n"/>
      <c r="E6" s="21" t="n"/>
      <c r="F6" s="21" t="n"/>
      <c r="G6" s="21" t="n"/>
    </row>
    <row r="7">
      <c r="A7" s="22" t="inlineStr">
        <is>
          <t>Lugar</t>
        </is>
      </c>
      <c r="B7" s="23" t="n">
        <v>46106</v>
      </c>
      <c r="C7" s="12" t="inlineStr">
        <is>
          <t>Quorum Quito - primer pago</t>
        </is>
      </c>
      <c r="D7" s="12" t="inlineStr">
        <is>
          <t>30%</t>
        </is>
      </c>
      <c r="E7" s="10" t="n">
        <v>6911</v>
      </c>
      <c r="F7" s="24" t="inlineStr">
        <is>
          <t>Ecuador</t>
        </is>
      </c>
      <c r="G7" s="22" t="inlineStr"/>
    </row>
    <row r="8">
      <c r="A8" s="22" t="inlineStr">
        <is>
          <t>Lugar</t>
        </is>
      </c>
      <c r="B8" s="23" t="n">
        <v>46205</v>
      </c>
      <c r="C8" s="12" t="inlineStr">
        <is>
          <t>Ambulancia - pago completo</t>
        </is>
      </c>
      <c r="D8" s="12" t="inlineStr">
        <is>
          <t>100%</t>
        </is>
      </c>
      <c r="E8" s="10" t="n">
        <v>500</v>
      </c>
      <c r="F8" s="24" t="inlineStr">
        <is>
          <t>Ecuador</t>
        </is>
      </c>
      <c r="G8" s="22" t="inlineStr"/>
    </row>
    <row r="9" ht="18" customHeight="1">
      <c r="A9" s="20" t="inlineStr">
        <is>
          <t xml:space="preserve">      TÉCNICA</t>
        </is>
      </c>
      <c r="B9" s="21" t="n"/>
      <c r="C9" s="21" t="n"/>
      <c r="D9" s="21" t="n"/>
      <c r="E9" s="21" t="n"/>
      <c r="F9" s="21" t="n"/>
      <c r="G9" s="21" t="n"/>
    </row>
    <row r="10">
      <c r="A10" s="22" t="inlineStr">
        <is>
          <t>Técnica</t>
        </is>
      </c>
      <c r="B10" s="23" t="n">
        <v>46171</v>
      </c>
      <c r="C10" s="12" t="inlineStr">
        <is>
          <t>Técnica (Jhon) - primer pago</t>
        </is>
      </c>
      <c r="D10" s="12" t="inlineStr">
        <is>
          <t>50%</t>
        </is>
      </c>
      <c r="E10" s="10" t="n">
        <v>5500</v>
      </c>
      <c r="F10" s="24" t="inlineStr">
        <is>
          <t>Ecuador</t>
        </is>
      </c>
      <c r="G10" s="22" t="inlineStr"/>
    </row>
    <row r="11" ht="18" customHeight="1">
      <c r="A11" s="20" t="inlineStr">
        <is>
          <t xml:space="preserve">      DINÁMICA</t>
        </is>
      </c>
      <c r="B11" s="21" t="n"/>
      <c r="C11" s="21" t="n"/>
      <c r="D11" s="21" t="n"/>
      <c r="E11" s="21" t="n"/>
      <c r="F11" s="21" t="n"/>
      <c r="G11" s="21" t="n"/>
    </row>
    <row r="12">
      <c r="A12" s="22" t="inlineStr">
        <is>
          <t>Dinámica</t>
        </is>
      </c>
      <c r="B12" s="23" t="n">
        <v>46204</v>
      </c>
      <c r="C12" s="12" t="inlineStr">
        <is>
          <t>Varillas/camerino - Cesar - pago completo</t>
        </is>
      </c>
      <c r="D12" s="12" t="inlineStr">
        <is>
          <t>100%</t>
        </is>
      </c>
      <c r="E12" s="10" t="n">
        <v>4936</v>
      </c>
      <c r="F12" s="24" t="inlineStr">
        <is>
          <t>Ecuador</t>
        </is>
      </c>
      <c r="G12" s="22" t="inlineStr"/>
    </row>
    <row r="13" ht="18" customHeight="1">
      <c r="A13" s="20" t="inlineStr">
        <is>
          <t xml:space="preserve">      MERCH</t>
        </is>
      </c>
      <c r="B13" s="21" t="n"/>
      <c r="C13" s="21" t="n"/>
      <c r="D13" s="21" t="n"/>
      <c r="E13" s="21" t="n"/>
      <c r="F13" s="21" t="n"/>
      <c r="G13" s="21" t="n"/>
    </row>
    <row r="14">
      <c r="A14" s="22" t="inlineStr">
        <is>
          <t>Merch</t>
        </is>
      </c>
      <c r="B14" s="23" t="n">
        <v>46181</v>
      </c>
      <c r="C14" s="12" t="inlineStr">
        <is>
          <t>Mambo (impresos) - primer pago</t>
        </is>
      </c>
      <c r="D14" s="12" t="inlineStr">
        <is>
          <t>60%</t>
        </is>
      </c>
      <c r="E14" s="10" t="n">
        <v>1348</v>
      </c>
      <c r="F14" s="24" t="inlineStr">
        <is>
          <t>Ecuador</t>
        </is>
      </c>
      <c r="G14" s="22" t="inlineStr"/>
    </row>
    <row r="15">
      <c r="A15" s="22" t="inlineStr">
        <is>
          <t>Merch</t>
        </is>
      </c>
      <c r="B15" s="23" t="n">
        <v>46189</v>
      </c>
      <c r="C15" s="12" t="inlineStr">
        <is>
          <t>Jorge (gorras, bolsas, pañuelos, camisetas) - primer pago</t>
        </is>
      </c>
      <c r="D15" s="12" t="inlineStr">
        <is>
          <t>50%</t>
        </is>
      </c>
      <c r="E15" s="10" t="n">
        <v>2000</v>
      </c>
      <c r="F15" s="24" t="inlineStr">
        <is>
          <t>Ecuador</t>
        </is>
      </c>
      <c r="G15" s="22" t="inlineStr"/>
    </row>
    <row r="16">
      <c r="A16" s="22" t="inlineStr">
        <is>
          <t>Merch</t>
        </is>
      </c>
      <c r="B16" s="23" t="n">
        <v>46197</v>
      </c>
      <c r="C16" s="12" t="inlineStr">
        <is>
          <t>Jorge (pañuelos RD) - primer pago</t>
        </is>
      </c>
      <c r="D16" s="32" t="inlineStr">
        <is>
          <t>?</t>
        </is>
      </c>
      <c r="E16" s="10" t="n">
        <v>1600</v>
      </c>
      <c r="F16" s="24" t="inlineStr">
        <is>
          <t>Ecuador</t>
        </is>
      </c>
      <c r="G16" s="22" t="inlineStr"/>
    </row>
    <row r="17">
      <c r="A17" s="22" t="inlineStr">
        <is>
          <t>Merch</t>
        </is>
      </c>
      <c r="B17" s="23" t="n">
        <v>46204</v>
      </c>
      <c r="C17" s="12" t="inlineStr">
        <is>
          <t>Mambo (impresos) - saldo</t>
        </is>
      </c>
      <c r="D17" s="12" t="inlineStr">
        <is>
          <t>40%</t>
        </is>
      </c>
      <c r="E17" s="10" t="n">
        <v>910</v>
      </c>
      <c r="F17" s="24" t="inlineStr">
        <is>
          <t>Ecuador</t>
        </is>
      </c>
      <c r="G17" s="22" t="inlineStr"/>
    </row>
    <row r="18">
      <c r="A18" s="25" t="n"/>
      <c r="B18" s="25" t="n"/>
      <c r="C18" s="16" t="inlineStr">
        <is>
          <t>Subtotal Ecuador</t>
        </is>
      </c>
      <c r="D18" s="25" t="n"/>
      <c r="E18" s="17">
        <f>SUM(E6:E17)</f>
        <v/>
      </c>
      <c r="F18" s="25" t="n"/>
      <c r="G18" s="25" t="n"/>
    </row>
    <row r="19" ht="24" customHeight="1">
      <c r="A19" s="19" t="inlineStr">
        <is>
          <t>Panamá   ·   evento 08 ago</t>
        </is>
      </c>
      <c r="B19" s="2" t="n"/>
      <c r="C19" s="2" t="n"/>
      <c r="D19" s="2" t="n"/>
      <c r="E19" s="2" t="n"/>
      <c r="F19" s="2" t="n"/>
      <c r="G19" s="2" t="n"/>
    </row>
    <row r="20" ht="18" customHeight="1">
      <c r="A20" s="20" t="inlineStr">
        <is>
          <t xml:space="preserve">      LUGAR</t>
        </is>
      </c>
      <c r="B20" s="21" t="n"/>
      <c r="C20" s="21" t="n"/>
      <c r="D20" s="21" t="n"/>
      <c r="E20" s="21" t="n"/>
      <c r="F20" s="21" t="n"/>
      <c r="G20" s="21" t="n"/>
    </row>
    <row r="21">
      <c r="A21" s="22" t="inlineStr">
        <is>
          <t>Lugar</t>
        </is>
      </c>
      <c r="B21" s="23" t="n">
        <v>46114</v>
      </c>
      <c r="C21" s="12" t="inlineStr">
        <is>
          <t>Riu Plaza - primer pago</t>
        </is>
      </c>
      <c r="D21" s="12" t="inlineStr">
        <is>
          <t>30%</t>
        </is>
      </c>
      <c r="E21" s="10" t="n">
        <v>12590.28</v>
      </c>
      <c r="F21" s="24" t="inlineStr">
        <is>
          <t>Panamá</t>
        </is>
      </c>
      <c r="G21" s="22" t="inlineStr"/>
    </row>
    <row r="22" ht="18" customHeight="1">
      <c r="A22" s="20" t="inlineStr">
        <is>
          <t xml:space="preserve">      MERCH</t>
        </is>
      </c>
      <c r="B22" s="21" t="n"/>
      <c r="C22" s="21" t="n"/>
      <c r="D22" s="21" t="n"/>
      <c r="E22" s="21" t="n"/>
      <c r="F22" s="21" t="n"/>
      <c r="G22" s="21" t="n"/>
    </row>
    <row r="23">
      <c r="A23" s="22" t="inlineStr">
        <is>
          <t>Merch</t>
        </is>
      </c>
      <c r="B23" s="23" t="n">
        <v>46198</v>
      </c>
      <c r="C23" s="12" t="inlineStr">
        <is>
          <t>Camisetas y bolsas - pago completo</t>
        </is>
      </c>
      <c r="D23" s="12" t="inlineStr">
        <is>
          <t>100%</t>
        </is>
      </c>
      <c r="E23" s="10" t="n">
        <v>1145</v>
      </c>
      <c r="F23" s="24" t="inlineStr">
        <is>
          <t>Panamá</t>
        </is>
      </c>
      <c r="G23" s="22" t="inlineStr"/>
    </row>
    <row r="24">
      <c r="A24" s="25" t="n"/>
      <c r="B24" s="25" t="n"/>
      <c r="C24" s="16" t="inlineStr">
        <is>
          <t>Subtotal Panamá</t>
        </is>
      </c>
      <c r="D24" s="25" t="n"/>
      <c r="E24" s="17">
        <f>SUM(E20:E23)</f>
        <v/>
      </c>
      <c r="F24" s="25" t="n"/>
      <c r="G24" s="25" t="n"/>
    </row>
    <row r="25" ht="24" customHeight="1">
      <c r="A25" s="19" t="inlineStr">
        <is>
          <t>Rep. Dominicana   ·   evento 15 ago</t>
        </is>
      </c>
      <c r="B25" s="2" t="n"/>
      <c r="C25" s="2" t="n"/>
      <c r="D25" s="2" t="n"/>
      <c r="E25" s="2" t="n"/>
      <c r="F25" s="2" t="n"/>
      <c r="G25" s="2" t="n"/>
    </row>
    <row r="26" ht="18" customHeight="1">
      <c r="A26" s="20" t="inlineStr">
        <is>
          <t xml:space="preserve">      MERCH</t>
        </is>
      </c>
      <c r="B26" s="21" t="n"/>
      <c r="C26" s="21" t="n"/>
      <c r="D26" s="21" t="n"/>
      <c r="E26" s="21" t="n"/>
      <c r="F26" s="21" t="n"/>
      <c r="G26" s="21" t="n"/>
    </row>
    <row r="27">
      <c r="A27" s="22" t="inlineStr">
        <is>
          <t>Merch</t>
        </is>
      </c>
      <c r="B27" s="23" t="n">
        <v>46199</v>
      </c>
      <c r="C27" s="12" t="inlineStr">
        <is>
          <t>Impresos - pago completo</t>
        </is>
      </c>
      <c r="D27" s="12" t="inlineStr">
        <is>
          <t>100%</t>
        </is>
      </c>
      <c r="E27" s="10" t="n">
        <v>430</v>
      </c>
      <c r="F27" s="24" t="inlineStr">
        <is>
          <t>Rep. Dominicana</t>
        </is>
      </c>
      <c r="G27" s="22" t="inlineStr"/>
    </row>
    <row r="28">
      <c r="A28" s="22" t="inlineStr">
        <is>
          <t>Merch</t>
        </is>
      </c>
      <c r="B28" s="23" t="n">
        <v>46199</v>
      </c>
      <c r="C28" s="12" t="inlineStr">
        <is>
          <t>Bolsas - pago completo</t>
        </is>
      </c>
      <c r="D28" s="12" t="inlineStr">
        <is>
          <t>100%</t>
        </is>
      </c>
      <c r="E28" s="10" t="n">
        <v>110</v>
      </c>
      <c r="F28" s="24" t="inlineStr">
        <is>
          <t>Rep. Dominicana</t>
        </is>
      </c>
      <c r="G28" s="22" t="inlineStr"/>
    </row>
    <row r="29">
      <c r="A29" s="25" t="n"/>
      <c r="B29" s="25" t="n"/>
      <c r="C29" s="16" t="inlineStr">
        <is>
          <t>Subtotal Rep. Dominicana</t>
        </is>
      </c>
      <c r="D29" s="25" t="n"/>
      <c r="E29" s="17">
        <f>SUM(E26:E28)</f>
        <v/>
      </c>
      <c r="F29" s="25" t="n"/>
      <c r="G29" s="25" t="n"/>
    </row>
    <row r="30" ht="24" customHeight="1">
      <c r="A30" s="19" t="inlineStr">
        <is>
          <t>Colombia 1ra   ·   evento 29 ago</t>
        </is>
      </c>
      <c r="B30" s="2" t="n"/>
      <c r="C30" s="2" t="n"/>
      <c r="D30" s="2" t="n"/>
      <c r="E30" s="2" t="n"/>
      <c r="F30" s="2" t="n"/>
      <c r="G30" s="2" t="n"/>
    </row>
    <row r="31" ht="18" customHeight="1">
      <c r="A31" s="20" t="inlineStr">
        <is>
          <t xml:space="preserve">      MERCH</t>
        </is>
      </c>
      <c r="B31" s="21" t="n"/>
      <c r="C31" s="21" t="n"/>
      <c r="D31" s="21" t="n"/>
      <c r="E31" s="21" t="n"/>
      <c r="F31" s="21" t="n"/>
      <c r="G31" s="21" t="n"/>
    </row>
    <row r="32">
      <c r="A32" s="22" t="inlineStr">
        <is>
          <t>Merch</t>
        </is>
      </c>
      <c r="B32" s="23" t="n">
        <v>46181</v>
      </c>
      <c r="C32" s="12" t="inlineStr">
        <is>
          <t>Maleta pendones - primer pago</t>
        </is>
      </c>
      <c r="D32" s="12" t="inlineStr">
        <is>
          <t>50%</t>
        </is>
      </c>
      <c r="E32" s="10" t="n">
        <v>120</v>
      </c>
      <c r="F32" s="24" t="inlineStr">
        <is>
          <t>Colombia 1ra</t>
        </is>
      </c>
      <c r="G32" s="30" t="inlineStr">
        <is>
          <t>Colombia</t>
        </is>
      </c>
    </row>
    <row r="33">
      <c r="A33" s="22" t="inlineStr">
        <is>
          <t>Merch</t>
        </is>
      </c>
      <c r="B33" s="23" t="n">
        <v>46181</v>
      </c>
      <c r="C33" s="12" t="inlineStr">
        <is>
          <t>D'vinni sas - pago completo</t>
        </is>
      </c>
      <c r="D33" s="12" t="inlineStr">
        <is>
          <t>100%</t>
        </is>
      </c>
      <c r="E33" s="10" t="n">
        <v>580</v>
      </c>
      <c r="F33" s="24" t="inlineStr">
        <is>
          <t>Colombia 1ra</t>
        </is>
      </c>
      <c r="G33" s="30" t="inlineStr">
        <is>
          <t>Pendones</t>
        </is>
      </c>
    </row>
    <row r="34">
      <c r="A34" s="22" t="inlineStr">
        <is>
          <t>Merch</t>
        </is>
      </c>
      <c r="B34" s="23" t="n">
        <v>46192</v>
      </c>
      <c r="C34" s="12" t="inlineStr">
        <is>
          <t>Gorras - primer pago</t>
        </is>
      </c>
      <c r="D34" s="12" t="inlineStr">
        <is>
          <t>50%</t>
        </is>
      </c>
      <c r="E34" s="10" t="n">
        <v>2000</v>
      </c>
      <c r="F34" s="24" t="inlineStr">
        <is>
          <t>Colombia 1ra</t>
        </is>
      </c>
      <c r="G34" s="30" t="inlineStr">
        <is>
          <t>Colombia</t>
        </is>
      </c>
    </row>
    <row r="35">
      <c r="A35" s="22" t="inlineStr">
        <is>
          <t>Merch</t>
        </is>
      </c>
      <c r="B35" s="23" t="n">
        <v>46196</v>
      </c>
      <c r="C35" s="12" t="inlineStr">
        <is>
          <t>Maleta pendones - saldo</t>
        </is>
      </c>
      <c r="D35" s="12" t="inlineStr">
        <is>
          <t>50%</t>
        </is>
      </c>
      <c r="E35" s="10" t="n">
        <v>120</v>
      </c>
      <c r="F35" s="24" t="inlineStr">
        <is>
          <t>Colombia 1ra</t>
        </is>
      </c>
      <c r="G35" s="30" t="inlineStr">
        <is>
          <t>Colombia</t>
        </is>
      </c>
    </row>
    <row r="36">
      <c r="A36" s="22" t="inlineStr">
        <is>
          <t>Merch</t>
        </is>
      </c>
      <c r="B36" s="23" t="n">
        <v>46198</v>
      </c>
      <c r="C36" s="12" t="inlineStr">
        <is>
          <t>D'vinni sas - primer pago</t>
        </is>
      </c>
      <c r="D36" s="12" t="inlineStr">
        <is>
          <t>50%</t>
        </is>
      </c>
      <c r="E36" s="10" t="n">
        <v>1094</v>
      </c>
      <c r="F36" s="24" t="inlineStr">
        <is>
          <t>Colombia 1ra</t>
        </is>
      </c>
      <c r="G36" s="30" t="inlineStr">
        <is>
          <t>Colombia</t>
        </is>
      </c>
    </row>
    <row r="37">
      <c r="A37" s="22" t="inlineStr">
        <is>
          <t>Merch</t>
        </is>
      </c>
      <c r="B37" s="23" t="n">
        <v>46206</v>
      </c>
      <c r="C37" s="12" t="inlineStr">
        <is>
          <t>Pañuelos Colombia - primer pago</t>
        </is>
      </c>
      <c r="D37" s="12" t="inlineStr">
        <is>
          <t>50%</t>
        </is>
      </c>
      <c r="E37" s="10" t="n">
        <v>3475</v>
      </c>
      <c r="F37" s="24" t="inlineStr">
        <is>
          <t>Colombia 1ra</t>
        </is>
      </c>
      <c r="G37" s="30" t="inlineStr">
        <is>
          <t>Colombia</t>
        </is>
      </c>
    </row>
    <row r="38">
      <c r="A38" s="25" t="n"/>
      <c r="B38" s="25" t="n"/>
      <c r="C38" s="16" t="inlineStr">
        <is>
          <t>Subtotal Colombia 1ra</t>
        </is>
      </c>
      <c r="D38" s="25" t="n"/>
      <c r="E38" s="17">
        <f>SUM(E31:E37)</f>
        <v/>
      </c>
      <c r="F38" s="25" t="n"/>
      <c r="G38" s="25" t="n"/>
    </row>
    <row r="39" ht="24" customHeight="1">
      <c r="A39" s="19" t="inlineStr">
        <is>
          <t>México   ·   evento 05 sep</t>
        </is>
      </c>
      <c r="B39" s="2" t="n"/>
      <c r="C39" s="2" t="n"/>
      <c r="D39" s="2" t="n"/>
      <c r="E39" s="2" t="n"/>
      <c r="F39" s="2" t="n"/>
      <c r="G39" s="2" t="n"/>
    </row>
    <row r="40" ht="18" customHeight="1">
      <c r="A40" s="20" t="inlineStr">
        <is>
          <t xml:space="preserve">      LUGAR</t>
        </is>
      </c>
      <c r="B40" s="21" t="n"/>
      <c r="C40" s="21" t="n"/>
      <c r="D40" s="21" t="n"/>
      <c r="E40" s="21" t="n"/>
      <c r="F40" s="21" t="n"/>
      <c r="G40" s="21" t="n"/>
    </row>
    <row r="41">
      <c r="A41" s="22" t="inlineStr">
        <is>
          <t>Lugar</t>
        </is>
      </c>
      <c r="B41" s="23" t="n">
        <v>46114</v>
      </c>
      <c r="C41" s="12" t="inlineStr">
        <is>
          <t>World Trade Center Mexiquense - primer pago</t>
        </is>
      </c>
      <c r="D41" s="12" t="inlineStr">
        <is>
          <t>50%</t>
        </is>
      </c>
      <c r="E41" s="10" t="n">
        <v>11145</v>
      </c>
      <c r="F41" s="24" t="inlineStr">
        <is>
          <t>México</t>
        </is>
      </c>
      <c r="G41" s="22" t="inlineStr"/>
    </row>
    <row r="42">
      <c r="A42" s="25" t="n"/>
      <c r="B42" s="25" t="n"/>
      <c r="C42" s="16" t="inlineStr">
        <is>
          <t>Subtotal México</t>
        </is>
      </c>
      <c r="D42" s="25" t="n"/>
      <c r="E42" s="17">
        <f>SUM(E40:E41)</f>
        <v/>
      </c>
      <c r="F42" s="25" t="n"/>
      <c r="G42" s="25" t="n"/>
    </row>
    <row r="43" ht="24" customHeight="1">
      <c r="A43" s="19" t="inlineStr">
        <is>
          <t>Chile   ·   evento 12 sep</t>
        </is>
      </c>
      <c r="B43" s="2" t="n"/>
      <c r="C43" s="2" t="n"/>
      <c r="D43" s="2" t="n"/>
      <c r="E43" s="2" t="n"/>
      <c r="F43" s="2" t="n"/>
      <c r="G43" s="2" t="n"/>
    </row>
    <row r="44" ht="18" customHeight="1">
      <c r="A44" s="20" t="inlineStr">
        <is>
          <t xml:space="preserve">      LUGAR</t>
        </is>
      </c>
      <c r="B44" s="21" t="n"/>
      <c r="C44" s="21" t="n"/>
      <c r="D44" s="21" t="n"/>
      <c r="E44" s="21" t="n"/>
      <c r="F44" s="21" t="n"/>
      <c r="G44" s="21" t="n"/>
    </row>
    <row r="45">
      <c r="A45" s="22" t="inlineStr">
        <is>
          <t>Lugar</t>
        </is>
      </c>
      <c r="B45" s="23" t="n">
        <v>46198</v>
      </c>
      <c r="C45" s="12" t="inlineStr">
        <is>
          <t>Espacio Riesco - primer pago</t>
        </is>
      </c>
      <c r="D45" s="12" t="inlineStr">
        <is>
          <t>30%</t>
        </is>
      </c>
      <c r="E45" s="10" t="n">
        <v>19693</v>
      </c>
      <c r="F45" s="24" t="inlineStr">
        <is>
          <t>Chile</t>
        </is>
      </c>
      <c r="G45" s="22" t="inlineStr"/>
    </row>
    <row r="46">
      <c r="A46" s="25" t="n"/>
      <c r="B46" s="25" t="n"/>
      <c r="C46" s="16" t="inlineStr">
        <is>
          <t>Subtotal Chile</t>
        </is>
      </c>
      <c r="D46" s="25" t="n"/>
      <c r="E46" s="17">
        <f>SUM(E44:E45)</f>
        <v/>
      </c>
      <c r="F46" s="25" t="n"/>
      <c r="G46" s="25" t="n"/>
    </row>
    <row r="47" ht="24" customHeight="1">
      <c r="A47" s="19" t="inlineStr">
        <is>
          <t>Uruguay   ·   evento 19 sep</t>
        </is>
      </c>
      <c r="B47" s="2" t="n"/>
      <c r="C47" s="2" t="n"/>
      <c r="D47" s="2" t="n"/>
      <c r="E47" s="2" t="n"/>
      <c r="F47" s="2" t="n"/>
      <c r="G47" s="2" t="n"/>
    </row>
    <row r="48" ht="18" customHeight="1">
      <c r="A48" s="20" t="inlineStr">
        <is>
          <t xml:space="preserve">      LUGAR</t>
        </is>
      </c>
      <c r="B48" s="21" t="n"/>
      <c r="C48" s="21" t="n"/>
      <c r="D48" s="21" t="n"/>
      <c r="E48" s="21" t="n"/>
      <c r="F48" s="21" t="n"/>
      <c r="G48" s="21" t="n"/>
    </row>
    <row r="49">
      <c r="A49" s="22" t="inlineStr">
        <is>
          <t>Lugar</t>
        </is>
      </c>
      <c r="B49" s="23" t="n">
        <v>46114</v>
      </c>
      <c r="C49" s="12" t="inlineStr">
        <is>
          <t>Centro de Convenciones - primer pago</t>
        </is>
      </c>
      <c r="D49" s="12" t="inlineStr">
        <is>
          <t>30%</t>
        </is>
      </c>
      <c r="E49" s="10" t="n">
        <v>1000</v>
      </c>
      <c r="F49" s="24" t="inlineStr">
        <is>
          <t>Uruguay</t>
        </is>
      </c>
      <c r="G49" s="22" t="inlineStr"/>
    </row>
    <row r="50">
      <c r="A50" s="25" t="n"/>
      <c r="B50" s="25" t="n"/>
      <c r="C50" s="16" t="inlineStr">
        <is>
          <t>Subtotal Uruguay</t>
        </is>
      </c>
      <c r="D50" s="25" t="n"/>
      <c r="E50" s="17">
        <f>SUM(E48:E49)</f>
        <v/>
      </c>
      <c r="F50" s="25" t="n"/>
      <c r="G50" s="25" t="n"/>
    </row>
    <row r="51" ht="24" customHeight="1">
      <c r="A51" s="19" t="inlineStr">
        <is>
          <t>Argentina   ·   evento 03 oct</t>
        </is>
      </c>
      <c r="B51" s="2" t="n"/>
      <c r="C51" s="2" t="n"/>
      <c r="D51" s="2" t="n"/>
      <c r="E51" s="2" t="n"/>
      <c r="F51" s="2" t="n"/>
      <c r="G51" s="2" t="n"/>
    </row>
    <row r="52" ht="18" customHeight="1">
      <c r="A52" s="20" t="inlineStr">
        <is>
          <t xml:space="preserve">      LUGAR</t>
        </is>
      </c>
      <c r="B52" s="21" t="n"/>
      <c r="C52" s="21" t="n"/>
      <c r="D52" s="21" t="n"/>
      <c r="E52" s="21" t="n"/>
      <c r="F52" s="21" t="n"/>
      <c r="G52" s="21" t="n"/>
    </row>
    <row r="53">
      <c r="A53" s="22" t="inlineStr">
        <is>
          <t>Lugar</t>
        </is>
      </c>
      <c r="B53" s="23" t="n">
        <v>46139</v>
      </c>
      <c r="C53" s="12" t="inlineStr">
        <is>
          <t>La Rural - primer pago</t>
        </is>
      </c>
      <c r="D53" s="32" t="inlineStr">
        <is>
          <t>?</t>
        </is>
      </c>
      <c r="E53" s="10" t="n">
        <v>43446</v>
      </c>
      <c r="F53" s="24" t="inlineStr">
        <is>
          <t>Argentina</t>
        </is>
      </c>
      <c r="G53" s="22" t="inlineStr"/>
    </row>
    <row r="54" ht="18" customHeight="1">
      <c r="A54" s="20" t="inlineStr">
        <is>
          <t xml:space="preserve">      MERCH</t>
        </is>
      </c>
      <c r="B54" s="21" t="n"/>
      <c r="C54" s="21" t="n"/>
      <c r="D54" s="21" t="n"/>
      <c r="E54" s="21" t="n"/>
      <c r="F54" s="21" t="n"/>
      <c r="G54" s="21" t="n"/>
    </row>
    <row r="55">
      <c r="A55" s="22" t="inlineStr">
        <is>
          <t>Merch</t>
        </is>
      </c>
      <c r="B55" s="23" t="n">
        <v>46197</v>
      </c>
      <c r="C55" s="12" t="inlineStr">
        <is>
          <t>Pañuelos - primer pago</t>
        </is>
      </c>
      <c r="D55" s="12" t="inlineStr">
        <is>
          <t>50%</t>
        </is>
      </c>
      <c r="E55" s="10" t="n">
        <v>5491</v>
      </c>
      <c r="F55" s="24" t="inlineStr">
        <is>
          <t>Argentina</t>
        </is>
      </c>
      <c r="G55" s="22" t="inlineStr"/>
    </row>
    <row r="56">
      <c r="A56" s="22" t="inlineStr">
        <is>
          <t>Merch</t>
        </is>
      </c>
      <c r="B56" s="23" t="n">
        <v>46198</v>
      </c>
      <c r="C56" s="12" t="inlineStr">
        <is>
          <t>Lanyards - primer pago</t>
        </is>
      </c>
      <c r="D56" s="12" t="inlineStr">
        <is>
          <t>50%</t>
        </is>
      </c>
      <c r="E56" s="10" t="n">
        <v>849</v>
      </c>
      <c r="F56" s="24" t="inlineStr">
        <is>
          <t>Argentina</t>
        </is>
      </c>
      <c r="G56" s="22" t="inlineStr"/>
    </row>
    <row r="57">
      <c r="A57" s="22" t="inlineStr">
        <is>
          <t>Merch</t>
        </is>
      </c>
      <c r="B57" s="23" t="n">
        <v>46198</v>
      </c>
      <c r="C57" s="12" t="inlineStr">
        <is>
          <t>Gorras - pago completo</t>
        </is>
      </c>
      <c r="D57" s="12" t="inlineStr">
        <is>
          <t>100%</t>
        </is>
      </c>
      <c r="E57" s="10" t="n">
        <v>1825</v>
      </c>
      <c r="F57" s="24" t="inlineStr">
        <is>
          <t>Argentina</t>
        </is>
      </c>
      <c r="G57" s="22" t="inlineStr"/>
    </row>
    <row r="58">
      <c r="A58" s="22" t="inlineStr">
        <is>
          <t>Merch</t>
        </is>
      </c>
      <c r="B58" s="23" t="n">
        <v>46198</v>
      </c>
      <c r="C58" s="12" t="inlineStr">
        <is>
          <t>Gráfica ARG - primer pago</t>
        </is>
      </c>
      <c r="D58" s="12" t="inlineStr">
        <is>
          <t>50%</t>
        </is>
      </c>
      <c r="E58" s="10" t="n">
        <v>642</v>
      </c>
      <c r="F58" s="24" t="inlineStr">
        <is>
          <t>Argentina</t>
        </is>
      </c>
      <c r="G58" s="22" t="inlineStr"/>
    </row>
    <row r="59">
      <c r="A59" s="22" t="inlineStr">
        <is>
          <t>Merch</t>
        </is>
      </c>
      <c r="B59" s="23" t="n">
        <v>46198</v>
      </c>
      <c r="C59" s="12" t="inlineStr">
        <is>
          <t>Gráfica URU - primer pago</t>
        </is>
      </c>
      <c r="D59" s="12" t="inlineStr">
        <is>
          <t>50%</t>
        </is>
      </c>
      <c r="E59" s="10" t="n">
        <v>1241</v>
      </c>
      <c r="F59" s="24" t="inlineStr">
        <is>
          <t>Argentina</t>
        </is>
      </c>
      <c r="G59" s="22" t="inlineStr"/>
    </row>
    <row r="60">
      <c r="A60" s="25" t="n"/>
      <c r="B60" s="25" t="n"/>
      <c r="C60" s="16" t="inlineStr">
        <is>
          <t>Subtotal Argentina</t>
        </is>
      </c>
      <c r="D60" s="25" t="n"/>
      <c r="E60" s="17">
        <f>SUM(E52:E59)</f>
        <v/>
      </c>
      <c r="F60" s="25" t="n"/>
      <c r="G60" s="25" t="n"/>
    </row>
    <row r="61" ht="24" customHeight="1">
      <c r="A61" s="19" t="inlineStr">
        <is>
          <t>Salvador   ·   evento 10 oct</t>
        </is>
      </c>
      <c r="B61" s="2" t="n"/>
      <c r="C61" s="2" t="n"/>
      <c r="D61" s="2" t="n"/>
      <c r="E61" s="2" t="n"/>
      <c r="F61" s="2" t="n"/>
      <c r="G61" s="2" t="n"/>
    </row>
    <row r="62" ht="18" customHeight="1">
      <c r="A62" s="20" t="inlineStr">
        <is>
          <t xml:space="preserve">      LUGAR</t>
        </is>
      </c>
      <c r="B62" s="21" t="n"/>
      <c r="C62" s="21" t="n"/>
      <c r="D62" s="21" t="n"/>
      <c r="E62" s="21" t="n"/>
      <c r="F62" s="21" t="n"/>
      <c r="G62" s="21" t="n"/>
    </row>
    <row r="63">
      <c r="A63" s="22" t="inlineStr">
        <is>
          <t>Lugar</t>
        </is>
      </c>
      <c r="B63" s="23" t="n">
        <v>46189</v>
      </c>
      <c r="C63" s="12" t="inlineStr">
        <is>
          <t>Círculo Militar - primer pago</t>
        </is>
      </c>
      <c r="D63" s="32" t="inlineStr">
        <is>
          <t>?</t>
        </is>
      </c>
      <c r="E63" s="10" t="n">
        <v>7376</v>
      </c>
      <c r="F63" s="24" t="inlineStr">
        <is>
          <t>Salvador</t>
        </is>
      </c>
      <c r="G63" s="22" t="inlineStr"/>
    </row>
    <row r="64">
      <c r="A64" s="25" t="n"/>
      <c r="B64" s="25" t="n"/>
      <c r="C64" s="16" t="inlineStr">
        <is>
          <t>Subtotal Salvador</t>
        </is>
      </c>
      <c r="D64" s="25" t="n"/>
      <c r="E64" s="17">
        <f>SUM(E62:E63)</f>
        <v/>
      </c>
      <c r="F64" s="25" t="n"/>
      <c r="G64" s="25" t="n"/>
    </row>
    <row r="65" ht="24" customHeight="1">
      <c r="A65" s="19" t="inlineStr">
        <is>
          <t>Costa Rica   ·   evento 07 nov</t>
        </is>
      </c>
      <c r="B65" s="2" t="n"/>
      <c r="C65" s="2" t="n"/>
      <c r="D65" s="2" t="n"/>
      <c r="E65" s="2" t="n"/>
      <c r="F65" s="2" t="n"/>
      <c r="G65" s="2" t="n"/>
    </row>
    <row r="66" ht="18" customHeight="1">
      <c r="A66" s="20" t="inlineStr">
        <is>
          <t xml:space="preserve">      LUGAR</t>
        </is>
      </c>
      <c r="B66" s="21" t="n"/>
      <c r="C66" s="21" t="n"/>
      <c r="D66" s="21" t="n"/>
      <c r="E66" s="21" t="n"/>
      <c r="F66" s="21" t="n"/>
      <c r="G66" s="21" t="n"/>
    </row>
    <row r="67">
      <c r="A67" s="22" t="inlineStr">
        <is>
          <t>Lugar</t>
        </is>
      </c>
      <c r="B67" s="23" t="n">
        <v>46163</v>
      </c>
      <c r="C67" s="12" t="inlineStr">
        <is>
          <t>Centro de Convenciones - primer pago</t>
        </is>
      </c>
      <c r="D67" s="12" t="inlineStr">
        <is>
          <t>50%</t>
        </is>
      </c>
      <c r="E67" s="10" t="n">
        <v>32494</v>
      </c>
      <c r="F67" s="24" t="inlineStr">
        <is>
          <t>Costa Rica</t>
        </is>
      </c>
      <c r="G67" s="22" t="inlineStr"/>
    </row>
    <row r="68">
      <c r="A68" s="25" t="n"/>
      <c r="B68" s="25" t="n"/>
      <c r="C68" s="16" t="inlineStr">
        <is>
          <t>Subtotal Costa Rica</t>
        </is>
      </c>
      <c r="D68" s="25" t="n"/>
      <c r="E68" s="17">
        <f>SUM(E66:E67)</f>
        <v/>
      </c>
      <c r="F68" s="25" t="n"/>
      <c r="G68" s="25" t="n"/>
    </row>
    <row r="69" ht="24" customHeight="1">
      <c r="A69" s="19" t="inlineStr">
        <is>
          <t>Guatemala   ·   evento 21 nov</t>
        </is>
      </c>
      <c r="B69" s="2" t="n"/>
      <c r="C69" s="2" t="n"/>
      <c r="D69" s="2" t="n"/>
      <c r="E69" s="2" t="n"/>
      <c r="F69" s="2" t="n"/>
      <c r="G69" s="2" t="n"/>
    </row>
    <row r="70" ht="18" customHeight="1">
      <c r="A70" s="20" t="inlineStr">
        <is>
          <t xml:space="preserve">      LUGAR</t>
        </is>
      </c>
      <c r="B70" s="21" t="n"/>
      <c r="C70" s="21" t="n"/>
      <c r="D70" s="21" t="n"/>
      <c r="E70" s="21" t="n"/>
      <c r="F70" s="21" t="n"/>
      <c r="G70" s="21" t="n"/>
    </row>
    <row r="71">
      <c r="A71" s="22" t="inlineStr">
        <is>
          <t>Lugar</t>
        </is>
      </c>
      <c r="B71" s="23" t="n">
        <v>46164</v>
      </c>
      <c r="C71" s="12" t="inlineStr">
        <is>
          <t>Parque de la Industria - primer pago</t>
        </is>
      </c>
      <c r="D71" s="32" t="inlineStr">
        <is>
          <t>?</t>
        </is>
      </c>
      <c r="E71" s="10" t="n">
        <v>1500</v>
      </c>
      <c r="F71" s="24" t="inlineStr">
        <is>
          <t>Guatemala</t>
        </is>
      </c>
      <c r="G71" s="22" t="inlineStr"/>
    </row>
    <row r="72" ht="18" customHeight="1">
      <c r="A72" s="20" t="inlineStr">
        <is>
          <t xml:space="preserve">      TRÁMITES</t>
        </is>
      </c>
      <c r="B72" s="21" t="n"/>
      <c r="C72" s="21" t="n"/>
      <c r="D72" s="21" t="n"/>
      <c r="E72" s="21" t="n"/>
      <c r="F72" s="21" t="n"/>
      <c r="G72" s="21" t="n"/>
    </row>
    <row r="73">
      <c r="A73" s="22" t="inlineStr">
        <is>
          <t>Trámites</t>
        </is>
      </c>
      <c r="B73" s="23" t="n">
        <v>46164</v>
      </c>
      <c r="C73" s="12" t="inlineStr">
        <is>
          <t>Michelle Taylor - primer pago</t>
        </is>
      </c>
      <c r="D73" s="12" t="inlineStr">
        <is>
          <t>50%</t>
        </is>
      </c>
      <c r="E73" s="10" t="n">
        <v>500</v>
      </c>
      <c r="F73" s="24" t="inlineStr">
        <is>
          <t>Guatemala</t>
        </is>
      </c>
      <c r="G73" s="22" t="inlineStr"/>
    </row>
    <row r="74">
      <c r="A74" s="25" t="n"/>
      <c r="B74" s="25" t="n"/>
      <c r="C74" s="16" t="inlineStr">
        <is>
          <t>Subtotal Guatemala</t>
        </is>
      </c>
      <c r="D74" s="25" t="n"/>
      <c r="E74" s="17">
        <f>SUM(E70:E73)</f>
        <v/>
      </c>
      <c r="F74" s="25" t="n"/>
      <c r="G74" s="25" t="n"/>
    </row>
    <row r="76">
      <c r="C76" s="4" t="inlineStr">
        <is>
          <t>TOTAL histórico</t>
        </is>
      </c>
      <c r="E76" s="17">
        <f>E18+E24+E29+E38+E42+E46+E50+E60+E64+E68+E74</f>
        <v/>
      </c>
    </row>
  </sheetData>
  <autoFilter ref="A4:G4"/>
  <mergeCells count="29">
    <mergeCell ref="A22:G22"/>
    <mergeCell ref="A62:G62"/>
    <mergeCell ref="A20:G20"/>
    <mergeCell ref="A72:G72"/>
    <mergeCell ref="A52:G52"/>
    <mergeCell ref="A43:G43"/>
    <mergeCell ref="A19:G19"/>
    <mergeCell ref="A13:G13"/>
    <mergeCell ref="A44:G44"/>
    <mergeCell ref="A40:G40"/>
    <mergeCell ref="A9:G9"/>
    <mergeCell ref="A31:G31"/>
    <mergeCell ref="A39:G39"/>
    <mergeCell ref="A48:G48"/>
    <mergeCell ref="A30:G30"/>
    <mergeCell ref="A11:G11"/>
    <mergeCell ref="A51:G51"/>
    <mergeCell ref="A61:G61"/>
    <mergeCell ref="A1:G1"/>
    <mergeCell ref="A70:G70"/>
    <mergeCell ref="A6:G6"/>
    <mergeCell ref="A69:G69"/>
    <mergeCell ref="A54:G54"/>
    <mergeCell ref="A25:G25"/>
    <mergeCell ref="A65:G65"/>
    <mergeCell ref="A66:G66"/>
    <mergeCell ref="A26:G26"/>
    <mergeCell ref="A47:G47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4" customWidth="1" min="4" max="4"/>
    <col width="11" customWidth="1" min="5" max="5"/>
    <col width="14" customWidth="1" min="6" max="6"/>
    <col width="14" customWidth="1" min="7" max="7"/>
    <col width="13" customWidth="1" min="8" max="8"/>
    <col width="16" customWidth="1" min="9" max="9"/>
    <col width="10" customWidth="1" min="10" max="10"/>
    <col width="50" customWidth="1" min="11" max="11"/>
  </cols>
  <sheetData>
    <row r="1" ht="34" customHeight="1">
      <c r="A1" s="1" t="inlineStr">
        <is>
          <t>Contratos y reservas (hoja PAGOS del MASTER)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44 contratos por país y bloque. "Saldo master" es el saldo escrito el día de la reserva: no se actualiza solo.</t>
        </is>
      </c>
    </row>
    <row r="4" ht="30" customHeight="1">
      <c r="A4" s="8" t="inlineStr">
        <is>
          <t>Bloque</t>
        </is>
      </c>
      <c r="B4" s="8" t="inlineStr">
        <is>
          <t>Fecha reserva</t>
        </is>
      </c>
      <c r="C4" s="8" t="inlineStr">
        <is>
          <t>Proveedor</t>
        </is>
      </c>
      <c r="D4" s="8" t="inlineStr">
        <is>
          <t>Valor total</t>
        </is>
      </c>
      <c r="E4" s="8" t="inlineStr">
        <is>
          <t>% 1er pago</t>
        </is>
      </c>
      <c r="F4" s="8" t="inlineStr">
        <is>
          <t>1er pago</t>
        </is>
      </c>
      <c r="G4" s="8" t="inlineStr">
        <is>
          <t>Saldo master</t>
        </is>
      </c>
      <c r="H4" s="8" t="inlineStr">
        <is>
          <t>Fecha saldo</t>
        </is>
      </c>
      <c r="I4" s="8" t="inlineStr">
        <is>
          <t>País</t>
        </is>
      </c>
      <c r="J4" s="8" t="inlineStr">
        <is>
          <t>Fila origen</t>
        </is>
      </c>
      <c r="K4" s="8" t="inlineStr">
        <is>
          <t>Alerta</t>
        </is>
      </c>
    </row>
    <row r="5" ht="24" customHeight="1">
      <c r="A5" s="19" t="inlineStr">
        <is>
          <t>Ecuador   ·   evento 25 jul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8" customHeight="1">
      <c r="A6" s="20" t="inlineStr">
        <is>
          <t xml:space="preserve">      LUGAR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</row>
    <row r="7">
      <c r="A7" s="22" t="inlineStr">
        <is>
          <t>Lugar</t>
        </is>
      </c>
      <c r="B7" s="23" t="n">
        <v>46205</v>
      </c>
      <c r="C7" s="12" t="inlineStr">
        <is>
          <t>Ambulancia</t>
        </is>
      </c>
      <c r="D7" s="10" t="n">
        <v>500</v>
      </c>
      <c r="E7" s="46" t="n">
        <v>1</v>
      </c>
      <c r="F7" s="12" t="n"/>
      <c r="G7" s="12" t="n"/>
      <c r="H7" s="12" t="n"/>
      <c r="I7" s="24" t="inlineStr">
        <is>
          <t>Ecuador</t>
        </is>
      </c>
      <c r="J7" s="22" t="n">
        <v>32</v>
      </c>
      <c r="K7" s="13" t="inlineStr">
        <is>
          <t>Contrato sin ningún dato de pago en el MASTER</t>
        </is>
      </c>
    </row>
    <row r="8">
      <c r="A8" s="22" t="inlineStr">
        <is>
          <t>Lugar</t>
        </is>
      </c>
      <c r="B8" s="23" t="n">
        <v>46106</v>
      </c>
      <c r="C8" s="12" t="inlineStr">
        <is>
          <t>Quorum Quito</t>
        </is>
      </c>
      <c r="D8" s="10" t="n">
        <v>25456</v>
      </c>
      <c r="E8" s="46" t="n">
        <v>0.3</v>
      </c>
      <c r="F8" s="10" t="n">
        <v>6911</v>
      </c>
      <c r="G8" s="10" t="n">
        <v>18545</v>
      </c>
      <c r="H8" s="12" t="n"/>
      <c r="I8" s="24" t="inlineStr">
        <is>
          <t>Ecuador</t>
        </is>
      </c>
      <c r="J8" s="22" t="n">
        <v>7</v>
      </c>
      <c r="K8" s="24" t="inlineStr"/>
    </row>
    <row r="9" ht="18" customHeight="1">
      <c r="A9" s="20" t="inlineStr">
        <is>
          <t xml:space="preserve">      SALAS MM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</row>
    <row r="10">
      <c r="A10" s="22" t="inlineStr">
        <is>
          <t>Salas MM</t>
        </is>
      </c>
      <c r="B10" s="12" t="n"/>
      <c r="C10" s="12" t="inlineStr">
        <is>
          <t>Wyndham Quintas</t>
        </is>
      </c>
      <c r="D10" s="10" t="n">
        <v>1706</v>
      </c>
      <c r="E10" s="12" t="n"/>
      <c r="F10" s="12" t="n"/>
      <c r="G10" s="12" t="n"/>
      <c r="H10" s="12" t="n"/>
      <c r="I10" s="24" t="inlineStr">
        <is>
          <t>Ecuador</t>
        </is>
      </c>
      <c r="J10" s="22" t="n">
        <v>45</v>
      </c>
      <c r="K10" s="13" t="inlineStr">
        <is>
          <t>Contrato sin ningún dato de pago en el MASTER</t>
        </is>
      </c>
    </row>
    <row r="11" ht="18" customHeight="1">
      <c r="A11" s="20" t="inlineStr">
        <is>
          <t xml:space="preserve">      TÉCNICA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</row>
    <row r="12">
      <c r="A12" s="22" t="inlineStr">
        <is>
          <t>Técnica</t>
        </is>
      </c>
      <c r="B12" s="23" t="n">
        <v>46171</v>
      </c>
      <c r="C12" s="12" t="inlineStr">
        <is>
          <t>Tecnica (Jhon)</t>
        </is>
      </c>
      <c r="D12" s="10" t="n">
        <v>11000</v>
      </c>
      <c r="E12" s="46" t="n">
        <v>0.5</v>
      </c>
      <c r="F12" s="10" t="n">
        <v>5500</v>
      </c>
      <c r="G12" s="10" t="n">
        <v>5500</v>
      </c>
      <c r="H12" s="23" t="n">
        <v>46223</v>
      </c>
      <c r="I12" s="24" t="inlineStr">
        <is>
          <t>Ecuador</t>
        </is>
      </c>
      <c r="J12" s="22" t="n">
        <v>14</v>
      </c>
      <c r="K12" s="24" t="inlineStr"/>
    </row>
    <row r="13" ht="18" customHeight="1">
      <c r="A13" s="20" t="inlineStr">
        <is>
          <t xml:space="preserve">      PRODUCCIÓN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</row>
    <row r="14">
      <c r="A14" s="22" t="inlineStr">
        <is>
          <t>Producción</t>
        </is>
      </c>
      <c r="B14" s="12" t="n"/>
      <c r="C14" s="12" t="inlineStr">
        <is>
          <t>Unifilas</t>
        </is>
      </c>
      <c r="D14" s="10" t="n">
        <v>600</v>
      </c>
      <c r="E14" s="12" t="n"/>
      <c r="F14" s="12" t="n"/>
      <c r="G14" s="12" t="n"/>
      <c r="H14" s="12" t="n"/>
      <c r="I14" s="24" t="inlineStr">
        <is>
          <t>Ecuador</t>
        </is>
      </c>
      <c r="J14" s="22" t="n">
        <v>42</v>
      </c>
      <c r="K14" s="13" t="inlineStr">
        <is>
          <t>Contrato sin ningún dato de pago en el MASTER</t>
        </is>
      </c>
    </row>
    <row r="15" ht="18" customHeight="1">
      <c r="A15" s="20" t="inlineStr">
        <is>
          <t xml:space="preserve">      DINÁMICA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s="22" t="inlineStr">
        <is>
          <t>Dinámica</t>
        </is>
      </c>
      <c r="B16" s="23" t="n">
        <v>46204</v>
      </c>
      <c r="C16" s="12" t="inlineStr">
        <is>
          <t>Varillas/camerino - Cesar</t>
        </is>
      </c>
      <c r="D16" s="10" t="n">
        <v>4936</v>
      </c>
      <c r="E16" s="46" t="n">
        <v>1</v>
      </c>
      <c r="F16" s="12" t="n"/>
      <c r="G16" s="12" t="n"/>
      <c r="H16" s="12" t="n"/>
      <c r="I16" s="24" t="inlineStr">
        <is>
          <t>Ecuador</t>
        </is>
      </c>
      <c r="J16" s="22" t="n">
        <v>31</v>
      </c>
      <c r="K16" s="13" t="inlineStr">
        <is>
          <t>Contrato sin ningún dato de pago en el MASTER</t>
        </is>
      </c>
    </row>
    <row r="17" ht="18" customHeight="1">
      <c r="A17" s="20" t="inlineStr">
        <is>
          <t xml:space="preserve">      MERCH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s="22" t="inlineStr">
        <is>
          <t>Merch</t>
        </is>
      </c>
      <c r="B18" s="23" t="n">
        <v>46189</v>
      </c>
      <c r="C18" s="12" t="inlineStr">
        <is>
          <t>Jorge (Gorras, bolsas, pañuelos, camisetas)</t>
        </is>
      </c>
      <c r="D18" s="10" t="n">
        <v>4015</v>
      </c>
      <c r="E18" s="46" t="n">
        <v>0.5</v>
      </c>
      <c r="F18" s="10" t="n">
        <v>2000</v>
      </c>
      <c r="G18" s="10" t="n">
        <v>2015</v>
      </c>
      <c r="H18" s="23" t="n">
        <v>46218</v>
      </c>
      <c r="I18" s="24" t="inlineStr">
        <is>
          <t>Ecuador</t>
        </is>
      </c>
      <c r="J18" s="22" t="n">
        <v>18</v>
      </c>
      <c r="K18" s="24" t="inlineStr"/>
    </row>
    <row r="19">
      <c r="A19" s="22" t="inlineStr">
        <is>
          <t>Merch</t>
        </is>
      </c>
      <c r="B19" s="23" t="n">
        <v>46197</v>
      </c>
      <c r="C19" s="12" t="inlineStr">
        <is>
          <t>Jorge (pañuelos RD)</t>
        </is>
      </c>
      <c r="D19" s="10" t="n">
        <v>2675</v>
      </c>
      <c r="E19" s="12" t="inlineStr">
        <is>
          <t>?</t>
        </is>
      </c>
      <c r="F19" s="10" t="n">
        <v>1600</v>
      </c>
      <c r="G19" s="10" t="n">
        <v>1075</v>
      </c>
      <c r="H19" s="23" t="n">
        <v>46218</v>
      </c>
      <c r="I19" s="24" t="inlineStr">
        <is>
          <t>Ecuador</t>
        </is>
      </c>
      <c r="J19" s="22" t="n">
        <v>20</v>
      </c>
      <c r="K19" s="13" t="inlineStr">
        <is>
          <t>% del primer pago desconocido</t>
        </is>
      </c>
    </row>
    <row r="20">
      <c r="A20" s="22" t="inlineStr">
        <is>
          <t>Merch</t>
        </is>
      </c>
      <c r="B20" s="23" t="n">
        <v>46181</v>
      </c>
      <c r="C20" s="12" t="inlineStr">
        <is>
          <t>Mambo (impresos)</t>
        </is>
      </c>
      <c r="D20" s="10" t="n">
        <v>2246</v>
      </c>
      <c r="E20" s="46" t="n">
        <v>0.6</v>
      </c>
      <c r="F20" s="10" t="n">
        <v>1347.6</v>
      </c>
      <c r="G20" s="10" t="n">
        <v>898.4</v>
      </c>
      <c r="H20" s="23" t="n">
        <v>46204</v>
      </c>
      <c r="I20" s="24" t="inlineStr">
        <is>
          <t>Ecuador</t>
        </is>
      </c>
      <c r="J20" s="22" t="n">
        <v>15</v>
      </c>
      <c r="K20" s="24" t="inlineStr"/>
    </row>
    <row r="21">
      <c r="A21" s="22" t="inlineStr">
        <is>
          <t>Merch</t>
        </is>
      </c>
      <c r="B21" s="12" t="n"/>
      <c r="C21" s="12" t="inlineStr">
        <is>
          <t>Placas reconocimiento</t>
        </is>
      </c>
      <c r="D21" s="10" t="n">
        <v>390</v>
      </c>
      <c r="E21" s="46" t="n">
        <v>1</v>
      </c>
      <c r="F21" s="12" t="inlineStr">
        <is>
          <t>Pendiente</t>
        </is>
      </c>
      <c r="G21" s="12" t="n"/>
      <c r="H21" s="12" t="n"/>
      <c r="I21" s="24" t="inlineStr">
        <is>
          <t>Ecuador</t>
        </is>
      </c>
      <c r="J21" s="22" t="n">
        <v>35</v>
      </c>
      <c r="K21" s="13" t="inlineStr">
        <is>
          <t>Sin abonar según MASTER — revisar contra el CALENDARIO</t>
        </is>
      </c>
    </row>
    <row r="22" ht="18" customHeight="1">
      <c r="A22" s="20" t="inlineStr">
        <is>
          <t xml:space="preserve">      CATERING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s="22" t="inlineStr">
        <is>
          <t>Catering</t>
        </is>
      </c>
      <c r="B23" s="23" t="n">
        <v>46205</v>
      </c>
      <c r="C23" s="12" t="inlineStr">
        <is>
          <t>Quorum Quito</t>
        </is>
      </c>
      <c r="D23" s="10" t="n">
        <v>5074</v>
      </c>
      <c r="E23" s="46" t="n">
        <v>1</v>
      </c>
      <c r="F23" s="12" t="inlineStr">
        <is>
          <t>Pendiente</t>
        </is>
      </c>
      <c r="G23" s="12" t="n"/>
      <c r="H23" s="12" t="n"/>
      <c r="I23" s="24" t="inlineStr">
        <is>
          <t>Ecuador</t>
        </is>
      </c>
      <c r="J23" s="22" t="n">
        <v>33</v>
      </c>
      <c r="K23" s="13" t="inlineStr">
        <is>
          <t>Sin abonar según MASTER — revisar contra el CALENDARIO</t>
        </is>
      </c>
    </row>
    <row r="24">
      <c r="A24" s="25" t="n"/>
      <c r="B24" s="25" t="n"/>
      <c r="C24" s="16" t="inlineStr">
        <is>
          <t>Subtotal Ecuador</t>
        </is>
      </c>
      <c r="D24" s="17">
        <f>SUM(D6:D23)</f>
        <v/>
      </c>
      <c r="E24" s="25" t="n"/>
      <c r="F24" s="25" t="n"/>
      <c r="G24" s="17">
        <f>SUM(G6:G23)</f>
        <v/>
      </c>
      <c r="H24" s="25" t="n"/>
      <c r="I24" s="25" t="n"/>
      <c r="J24" s="25" t="n"/>
      <c r="K24" s="25" t="n"/>
    </row>
    <row r="25" ht="24" customHeight="1">
      <c r="A25" s="19" t="inlineStr">
        <is>
          <t>Panamá   ·   evento 08 ago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8" customHeight="1">
      <c r="A26" s="20" t="inlineStr">
        <is>
          <t xml:space="preserve">      LUGAR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</row>
    <row r="27">
      <c r="A27" s="22" t="inlineStr">
        <is>
          <t>Lugar</t>
        </is>
      </c>
      <c r="B27" s="23" t="n">
        <v>46114</v>
      </c>
      <c r="C27" s="12" t="inlineStr">
        <is>
          <t>Riu plaza</t>
        </is>
      </c>
      <c r="D27" s="10" t="n">
        <v>41967.6</v>
      </c>
      <c r="E27" s="46" t="n">
        <v>0.3</v>
      </c>
      <c r="F27" s="10" t="n">
        <v>12590.28</v>
      </c>
      <c r="G27" s="10" t="n">
        <v>29377.32</v>
      </c>
      <c r="H27" s="12" t="n"/>
      <c r="I27" s="24" t="inlineStr">
        <is>
          <t>Panamá</t>
        </is>
      </c>
      <c r="J27" s="22" t="n">
        <v>6</v>
      </c>
      <c r="K27" s="24" t="inlineStr"/>
    </row>
    <row r="28" ht="18" customHeight="1">
      <c r="A28" s="20" t="inlineStr">
        <is>
          <t xml:space="preserve">      SALAS MM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</row>
    <row r="29">
      <c r="A29" s="22" t="inlineStr">
        <is>
          <t>Salas MM</t>
        </is>
      </c>
      <c r="B29" s="12" t="n"/>
      <c r="C29" s="12" t="inlineStr">
        <is>
          <t>Faranda</t>
        </is>
      </c>
      <c r="D29" s="10" t="n">
        <v>2000</v>
      </c>
      <c r="E29" s="12" t="n"/>
      <c r="F29" s="12" t="n"/>
      <c r="G29" s="12" t="n"/>
      <c r="H29" s="12" t="n"/>
      <c r="I29" s="24" t="inlineStr">
        <is>
          <t>Panamá</t>
        </is>
      </c>
      <c r="J29" s="22" t="n">
        <v>44</v>
      </c>
      <c r="K29" s="13" t="inlineStr">
        <is>
          <t>Contrato sin ningún dato de pago en el MASTER</t>
        </is>
      </c>
    </row>
    <row r="30" ht="18" customHeight="1">
      <c r="A30" s="20" t="inlineStr">
        <is>
          <t xml:space="preserve">      TÉCNICA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</row>
    <row r="31">
      <c r="A31" s="22" t="inlineStr">
        <is>
          <t>Técnica</t>
        </is>
      </c>
      <c r="B31" s="12" t="n"/>
      <c r="C31" s="12" t="inlineStr">
        <is>
          <t>Plataforma AV</t>
        </is>
      </c>
      <c r="D31" s="10" t="n">
        <v>15000</v>
      </c>
      <c r="E31" s="12" t="n"/>
      <c r="F31" s="12" t="n"/>
      <c r="G31" s="12" t="n"/>
      <c r="H31" s="12" t="n"/>
      <c r="I31" s="24" t="inlineStr">
        <is>
          <t>Panamá</t>
        </is>
      </c>
      <c r="J31" s="22" t="n">
        <v>46</v>
      </c>
      <c r="K31" s="13" t="inlineStr">
        <is>
          <t>Contrato sin ningún dato de pago en el MASTER</t>
        </is>
      </c>
    </row>
    <row r="32" ht="18" customHeight="1">
      <c r="A32" s="20" t="inlineStr">
        <is>
          <t xml:space="preserve">      DINÁMICA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</row>
    <row r="33">
      <c r="A33" s="22" t="inlineStr">
        <is>
          <t>Dinámica</t>
        </is>
      </c>
      <c r="B33" s="12" t="n"/>
      <c r="C33" s="12" t="inlineStr">
        <is>
          <t>VArillas</t>
        </is>
      </c>
      <c r="D33" s="10" t="n">
        <v>1200</v>
      </c>
      <c r="E33" s="12" t="inlineStr">
        <is>
          <t>aprox</t>
        </is>
      </c>
      <c r="F33" s="12" t="n"/>
      <c r="G33" s="12" t="n"/>
      <c r="H33" s="12" t="n"/>
      <c r="I33" s="24" t="inlineStr">
        <is>
          <t>Panamá</t>
        </is>
      </c>
      <c r="J33" s="22" t="n">
        <v>49</v>
      </c>
      <c r="K33" s="13" t="inlineStr">
        <is>
          <t>Contrato sin ningún dato de pago en el MASTER</t>
        </is>
      </c>
    </row>
    <row r="34" ht="18" customHeight="1">
      <c r="A34" s="20" t="inlineStr">
        <is>
          <t xml:space="preserve">      MERCH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</row>
    <row r="35">
      <c r="A35" s="22" t="inlineStr">
        <is>
          <t>Merch</t>
        </is>
      </c>
      <c r="B35" s="23" t="n">
        <v>46198</v>
      </c>
      <c r="C35" s="12" t="inlineStr">
        <is>
          <t>Camisetas y bolsas</t>
        </is>
      </c>
      <c r="D35" s="10" t="n">
        <v>1145</v>
      </c>
      <c r="E35" s="46" t="n">
        <v>1</v>
      </c>
      <c r="F35" s="10" t="n">
        <v>1145</v>
      </c>
      <c r="G35" s="12" t="n"/>
      <c r="H35" s="12" t="n"/>
      <c r="I35" s="24" t="inlineStr">
        <is>
          <t>Panamá</t>
        </is>
      </c>
      <c r="J35" s="22" t="n">
        <v>28</v>
      </c>
      <c r="K35" s="24" t="inlineStr"/>
    </row>
    <row r="36">
      <c r="A36" s="22" t="inlineStr">
        <is>
          <t>Merch</t>
        </is>
      </c>
      <c r="B36" s="12" t="n"/>
      <c r="C36" s="12" t="inlineStr">
        <is>
          <t>Impresos</t>
        </is>
      </c>
      <c r="D36" s="10" t="n">
        <v>700</v>
      </c>
      <c r="E36" s="12" t="n"/>
      <c r="F36" s="12" t="n"/>
      <c r="G36" s="12" t="n"/>
      <c r="H36" s="12" t="n"/>
      <c r="I36" s="24" t="inlineStr">
        <is>
          <t>Panamá</t>
        </is>
      </c>
      <c r="J36" s="22" t="n">
        <v>48</v>
      </c>
      <c r="K36" s="13" t="inlineStr">
        <is>
          <t>Contrato sin ningún dato de pago en el MASTER</t>
        </is>
      </c>
    </row>
    <row r="37">
      <c r="A37" s="25" t="n"/>
      <c r="B37" s="25" t="n"/>
      <c r="C37" s="16" t="inlineStr">
        <is>
          <t>Subtotal Panamá</t>
        </is>
      </c>
      <c r="D37" s="17">
        <f>SUM(D26:D36)</f>
        <v/>
      </c>
      <c r="E37" s="25" t="n"/>
      <c r="F37" s="25" t="n"/>
      <c r="G37" s="17">
        <f>SUM(G26:G36)</f>
        <v/>
      </c>
      <c r="H37" s="25" t="n"/>
      <c r="I37" s="25" t="n"/>
      <c r="J37" s="25" t="n"/>
      <c r="K37" s="25" t="n"/>
    </row>
    <row r="38" ht="24" customHeight="1">
      <c r="A38" s="19" t="inlineStr">
        <is>
          <t>Rep. Dominicana   ·   evento 15 ago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8" customHeight="1">
      <c r="A39" s="20" t="inlineStr">
        <is>
          <t xml:space="preserve">      LUGAR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</row>
    <row r="40">
      <c r="A40" s="22" t="inlineStr">
        <is>
          <t>Lugar</t>
        </is>
      </c>
      <c r="B40" s="12" t="n"/>
      <c r="C40" s="12" t="inlineStr">
        <is>
          <t>Crowne plaza</t>
        </is>
      </c>
      <c r="D40" s="10" t="n">
        <v>34000</v>
      </c>
      <c r="E40" s="12" t="n"/>
      <c r="F40" s="12" t="n"/>
      <c r="G40" s="12" t="n"/>
      <c r="H40" s="12" t="n"/>
      <c r="I40" s="24" t="inlineStr">
        <is>
          <t>Rep. Dominicana</t>
        </is>
      </c>
      <c r="J40" s="22" t="n">
        <v>43</v>
      </c>
      <c r="K40" s="13" t="inlineStr">
        <is>
          <t>Contrato sin ningún dato de pago en el MASTER</t>
        </is>
      </c>
    </row>
    <row r="41" ht="18" customHeight="1">
      <c r="A41" s="20" t="inlineStr">
        <is>
          <t xml:space="preserve">      TÉCNICA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s="22" t="inlineStr">
        <is>
          <t>Técnica</t>
        </is>
      </c>
      <c r="B42" s="12" t="n"/>
      <c r="C42" s="12" t="inlineStr">
        <is>
          <t>Plataforma AV</t>
        </is>
      </c>
      <c r="D42" s="10" t="n">
        <v>15000</v>
      </c>
      <c r="E42" s="12" t="n"/>
      <c r="F42" s="12" t="n"/>
      <c r="G42" s="12" t="n"/>
      <c r="H42" s="12" t="n"/>
      <c r="I42" s="24" t="inlineStr">
        <is>
          <t>Rep. Dominicana</t>
        </is>
      </c>
      <c r="J42" s="22" t="n">
        <v>47</v>
      </c>
      <c r="K42" s="13" t="inlineStr">
        <is>
          <t>Contrato sin ningún dato de pago en el MASTER</t>
        </is>
      </c>
    </row>
    <row r="43" ht="18" customHeight="1">
      <c r="A43" s="20" t="inlineStr">
        <is>
          <t xml:space="preserve">      DINÁMICA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s="22" t="inlineStr">
        <is>
          <t>Dinámica</t>
        </is>
      </c>
      <c r="B44" s="12" t="n"/>
      <c r="C44" s="12" t="inlineStr">
        <is>
          <t>Varillas</t>
        </is>
      </c>
      <c r="D44" s="10" t="n">
        <v>1200</v>
      </c>
      <c r="E44" s="12" t="inlineStr">
        <is>
          <t>aprox</t>
        </is>
      </c>
      <c r="F44" s="12" t="n"/>
      <c r="G44" s="12" t="n"/>
      <c r="H44" s="12" t="n"/>
      <c r="I44" s="24" t="inlineStr">
        <is>
          <t>Rep. Dominicana</t>
        </is>
      </c>
      <c r="J44" s="22" t="n">
        <v>50</v>
      </c>
      <c r="K44" s="13" t="inlineStr">
        <is>
          <t>Contrato sin ningún dato de pago en el MASTER</t>
        </is>
      </c>
    </row>
    <row r="45" ht="18" customHeight="1">
      <c r="A45" s="20" t="inlineStr">
        <is>
          <t xml:space="preserve">      MERCH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22" t="inlineStr">
        <is>
          <t>Merch</t>
        </is>
      </c>
      <c r="B46" s="23" t="n">
        <v>46199</v>
      </c>
      <c r="C46" s="12" t="inlineStr">
        <is>
          <t>Bolsas</t>
        </is>
      </c>
      <c r="D46" s="10" t="n">
        <v>110</v>
      </c>
      <c r="E46" s="46" t="n">
        <v>1</v>
      </c>
      <c r="F46" s="12" t="n"/>
      <c r="G46" s="12" t="n"/>
      <c r="H46" s="12" t="n"/>
      <c r="I46" s="24" t="inlineStr">
        <is>
          <t>Rep. Dominicana</t>
        </is>
      </c>
      <c r="J46" s="22" t="n">
        <v>30</v>
      </c>
      <c r="K46" s="13" t="inlineStr">
        <is>
          <t>Contrato sin ningún dato de pago en el MASTER</t>
        </is>
      </c>
    </row>
    <row r="47">
      <c r="A47" s="22" t="inlineStr">
        <is>
          <t>Merch</t>
        </is>
      </c>
      <c r="B47" s="23" t="n">
        <v>46199</v>
      </c>
      <c r="C47" s="12" t="inlineStr">
        <is>
          <t>Impresos</t>
        </is>
      </c>
      <c r="D47" s="10" t="n">
        <v>430</v>
      </c>
      <c r="E47" s="46" t="n">
        <v>1</v>
      </c>
      <c r="F47" s="12" t="n"/>
      <c r="G47" s="12" t="n"/>
      <c r="H47" s="12" t="n"/>
      <c r="I47" s="24" t="inlineStr">
        <is>
          <t>Rep. Dominicana</t>
        </is>
      </c>
      <c r="J47" s="22" t="n">
        <v>29</v>
      </c>
      <c r="K47" s="13" t="inlineStr">
        <is>
          <t>Contrato sin ningún dato de pago en el MASTER</t>
        </is>
      </c>
    </row>
    <row r="48">
      <c r="A48" s="25" t="n"/>
      <c r="B48" s="25" t="n"/>
      <c r="C48" s="16" t="inlineStr">
        <is>
          <t>Subtotal Rep. Dominicana</t>
        </is>
      </c>
      <c r="D48" s="17">
        <f>SUM(D39:D47)</f>
        <v/>
      </c>
      <c r="E48" s="25" t="n"/>
      <c r="F48" s="25" t="n"/>
      <c r="G48" s="17">
        <f>SUM(G39:G47)</f>
        <v/>
      </c>
      <c r="H48" s="25" t="n"/>
      <c r="I48" s="25" t="n"/>
      <c r="J48" s="25" t="n"/>
      <c r="K48" s="25" t="n"/>
    </row>
    <row r="49" ht="24" customHeight="1">
      <c r="A49" s="19" t="inlineStr">
        <is>
          <t>Colombia 1ra   ·   evento 29 ago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8" customHeight="1">
      <c r="A50" s="20" t="inlineStr">
        <is>
          <t xml:space="preserve">      LUGAR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</row>
    <row r="51">
      <c r="A51" s="22" t="inlineStr">
        <is>
          <t>Lugar</t>
        </is>
      </c>
      <c r="B51" s="12" t="n"/>
      <c r="C51" s="12" t="inlineStr">
        <is>
          <t>City Hall</t>
        </is>
      </c>
      <c r="D51" s="10" t="n">
        <v>73000</v>
      </c>
      <c r="E51" s="12" t="n"/>
      <c r="F51" s="12" t="n"/>
      <c r="G51" s="12" t="n"/>
      <c r="H51" s="12" t="n"/>
      <c r="I51" s="24" t="inlineStr">
        <is>
          <t>Colombia 1ra</t>
        </is>
      </c>
      <c r="J51" s="22" t="n">
        <v>41</v>
      </c>
      <c r="K51" s="13" t="inlineStr">
        <is>
          <t>Contrato sin ningún dato de pago en el MASTER</t>
        </is>
      </c>
    </row>
    <row r="52" ht="18" customHeight="1">
      <c r="A52" s="20" t="inlineStr">
        <is>
          <t xml:space="preserve">      MERCH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>
      <c r="A53" s="22" t="inlineStr">
        <is>
          <t>Merch</t>
        </is>
      </c>
      <c r="B53" s="12" t="n"/>
      <c r="C53" s="12" t="inlineStr">
        <is>
          <t>100 Tarjetas platino</t>
        </is>
      </c>
      <c r="D53" s="10" t="n">
        <v>611</v>
      </c>
      <c r="E53" s="46" t="n">
        <v>1</v>
      </c>
      <c r="F53" s="12" t="inlineStr">
        <is>
          <t>Pendiente</t>
        </is>
      </c>
      <c r="G53" s="12" t="n"/>
      <c r="H53" s="12" t="n"/>
      <c r="I53" s="24" t="inlineStr">
        <is>
          <t>Colombia 1ra</t>
        </is>
      </c>
      <c r="J53" s="22" t="n">
        <v>37</v>
      </c>
      <c r="K53" s="13" t="inlineStr">
        <is>
          <t>Sin abonar según MASTER — revisar contra el CALENDARIO</t>
        </is>
      </c>
    </row>
    <row r="54">
      <c r="A54" s="22" t="inlineStr">
        <is>
          <t>Merch</t>
        </is>
      </c>
      <c r="B54" s="12" t="n"/>
      <c r="C54" s="12" t="inlineStr">
        <is>
          <t>Camisetas</t>
        </is>
      </c>
      <c r="D54" s="10" t="n">
        <v>433</v>
      </c>
      <c r="E54" s="46" t="n">
        <v>1</v>
      </c>
      <c r="F54" s="12" t="inlineStr">
        <is>
          <t>Pendiente</t>
        </is>
      </c>
      <c r="G54" s="12" t="n"/>
      <c r="H54" s="12" t="n"/>
      <c r="I54" s="24" t="inlineStr">
        <is>
          <t>Colombia 1ra</t>
        </is>
      </c>
      <c r="J54" s="22" t="n">
        <v>36</v>
      </c>
      <c r="K54" s="13" t="inlineStr">
        <is>
          <t>Sin abonar según MASTER — revisar contra el CALENDARIO</t>
        </is>
      </c>
    </row>
    <row r="55">
      <c r="A55" s="22" t="inlineStr">
        <is>
          <t>Merch</t>
        </is>
      </c>
      <c r="B55" s="23" t="n">
        <v>46181</v>
      </c>
      <c r="C55" s="12" t="inlineStr">
        <is>
          <t>D´vinni sas</t>
        </is>
      </c>
      <c r="D55" s="10" t="n">
        <v>580</v>
      </c>
      <c r="E55" s="46" t="n">
        <v>1</v>
      </c>
      <c r="F55" s="10" t="n">
        <v>580</v>
      </c>
      <c r="G55" s="10" t="n">
        <v>0</v>
      </c>
      <c r="H55" s="12" t="n"/>
      <c r="I55" s="24" t="inlineStr">
        <is>
          <t>Colombia 1ra</t>
        </is>
      </c>
      <c r="J55" s="22" t="n">
        <v>17</v>
      </c>
      <c r="K55" s="24" t="inlineStr"/>
    </row>
    <row r="56">
      <c r="A56" s="22" t="inlineStr">
        <is>
          <t>Merch</t>
        </is>
      </c>
      <c r="B56" s="23" t="n">
        <v>46198</v>
      </c>
      <c r="C56" s="12" t="inlineStr">
        <is>
          <t>D´vinni sas</t>
        </is>
      </c>
      <c r="D56" s="10" t="n">
        <v>2188</v>
      </c>
      <c r="E56" s="46" t="n">
        <v>0.5</v>
      </c>
      <c r="F56" s="10" t="n">
        <v>1094</v>
      </c>
      <c r="G56" s="10" t="n">
        <v>1094</v>
      </c>
      <c r="H56" s="23" t="n">
        <v>46249</v>
      </c>
      <c r="I56" s="24" t="inlineStr">
        <is>
          <t>Colombia 1ra</t>
        </is>
      </c>
      <c r="J56" s="22" t="n">
        <v>27</v>
      </c>
      <c r="K56" s="24" t="inlineStr"/>
    </row>
    <row r="57">
      <c r="A57" s="22" t="inlineStr">
        <is>
          <t>Merch</t>
        </is>
      </c>
      <c r="B57" s="23" t="n">
        <v>46192</v>
      </c>
      <c r="C57" s="12" t="inlineStr">
        <is>
          <t>Gorras</t>
        </is>
      </c>
      <c r="D57" s="10" t="n">
        <v>4000</v>
      </c>
      <c r="E57" s="46" t="n">
        <v>0.5</v>
      </c>
      <c r="F57" s="10" t="n">
        <v>2000</v>
      </c>
      <c r="G57" s="10" t="n">
        <v>2000</v>
      </c>
      <c r="H57" s="12" t="n"/>
      <c r="I57" s="24" t="inlineStr">
        <is>
          <t>Colombia 1ra</t>
        </is>
      </c>
      <c r="J57" s="22" t="n">
        <v>19</v>
      </c>
      <c r="K57" s="24" t="inlineStr"/>
    </row>
    <row r="58">
      <c r="A58" s="22" t="inlineStr">
        <is>
          <t>Merch</t>
        </is>
      </c>
      <c r="B58" s="23" t="n">
        <v>46181</v>
      </c>
      <c r="C58" s="12" t="inlineStr">
        <is>
          <t>Maleta para pendones</t>
        </is>
      </c>
      <c r="D58" s="10" t="n">
        <v>240</v>
      </c>
      <c r="E58" s="46" t="n">
        <v>0.5</v>
      </c>
      <c r="F58" s="10" t="n">
        <v>120</v>
      </c>
      <c r="G58" s="10" t="n">
        <v>120</v>
      </c>
      <c r="H58" s="23" t="n">
        <v>46196</v>
      </c>
      <c r="I58" s="24" t="inlineStr">
        <is>
          <t>Colombia 1ra</t>
        </is>
      </c>
      <c r="J58" s="22" t="n">
        <v>16</v>
      </c>
      <c r="K58" s="24" t="inlineStr"/>
    </row>
    <row r="59">
      <c r="A59" s="22" t="inlineStr">
        <is>
          <t>Merch</t>
        </is>
      </c>
      <c r="B59" s="23" t="n">
        <v>46206</v>
      </c>
      <c r="C59" s="12" t="inlineStr">
        <is>
          <t>Pañuelos Colombia</t>
        </is>
      </c>
      <c r="D59" s="10" t="n">
        <v>6950</v>
      </c>
      <c r="E59" s="46" t="n">
        <v>0.5</v>
      </c>
      <c r="F59" s="10" t="n">
        <v>3475</v>
      </c>
      <c r="G59" s="12" t="n"/>
      <c r="H59" s="23" t="n">
        <v>46254</v>
      </c>
      <c r="I59" s="24" t="inlineStr">
        <is>
          <t>Colombia 1ra</t>
        </is>
      </c>
      <c r="J59" s="22" t="n">
        <v>34</v>
      </c>
      <c r="K59" s="24" t="inlineStr"/>
    </row>
    <row r="60">
      <c r="A60" s="25" t="n"/>
      <c r="B60" s="25" t="n"/>
      <c r="C60" s="16" t="inlineStr">
        <is>
          <t>Subtotal Colombia 1ra</t>
        </is>
      </c>
      <c r="D60" s="17">
        <f>SUM(D50:D59)</f>
        <v/>
      </c>
      <c r="E60" s="25" t="n"/>
      <c r="F60" s="25" t="n"/>
      <c r="G60" s="17">
        <f>SUM(G50:G59)</f>
        <v/>
      </c>
      <c r="H60" s="25" t="n"/>
      <c r="I60" s="25" t="n"/>
      <c r="J60" s="25" t="n"/>
      <c r="K60" s="25" t="n"/>
    </row>
    <row r="61" ht="24" customHeight="1">
      <c r="A61" s="19" t="inlineStr">
        <is>
          <t>México   ·   evento 05 sep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8" customHeight="1">
      <c r="A62" s="20" t="inlineStr">
        <is>
          <t xml:space="preserve">      LUGAR</t>
        </is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  <row r="63">
      <c r="A63" s="22" t="inlineStr">
        <is>
          <t>Lugar</t>
        </is>
      </c>
      <c r="B63" s="23" t="n">
        <v>46114</v>
      </c>
      <c r="C63" s="12" t="inlineStr">
        <is>
          <t>World trade center Mexiquense</t>
        </is>
      </c>
      <c r="D63" s="10" t="n">
        <v>37930</v>
      </c>
      <c r="E63" s="12" t="inlineStr">
        <is>
          <t>?</t>
        </is>
      </c>
      <c r="F63" s="10" t="n">
        <v>11145</v>
      </c>
      <c r="G63" s="10" t="n">
        <v>26785</v>
      </c>
      <c r="H63" s="12" t="n"/>
      <c r="I63" s="24" t="inlineStr">
        <is>
          <t>México</t>
        </is>
      </c>
      <c r="J63" s="22" t="n">
        <v>5</v>
      </c>
      <c r="K63" s="13" t="inlineStr">
        <is>
          <t>% del primer pago desconocido</t>
        </is>
      </c>
    </row>
    <row r="64">
      <c r="A64" s="25" t="n"/>
      <c r="B64" s="25" t="n"/>
      <c r="C64" s="16" t="inlineStr">
        <is>
          <t>Subtotal México</t>
        </is>
      </c>
      <c r="D64" s="17">
        <f>SUM(D62:D63)</f>
        <v/>
      </c>
      <c r="E64" s="25" t="n"/>
      <c r="F64" s="25" t="n"/>
      <c r="G64" s="17">
        <f>SUM(G62:G63)</f>
        <v/>
      </c>
      <c r="H64" s="25" t="n"/>
      <c r="I64" s="25" t="n"/>
      <c r="J64" s="25" t="n"/>
      <c r="K64" s="25" t="n"/>
    </row>
    <row r="65" ht="24" customHeight="1">
      <c r="A65" s="19" t="inlineStr">
        <is>
          <t>Chile   ·   evento 12 sep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8" customHeight="1">
      <c r="A66" s="20" t="inlineStr">
        <is>
          <t xml:space="preserve">      MERCH</t>
        </is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s="22" t="inlineStr">
        <is>
          <t>Merch</t>
        </is>
      </c>
      <c r="B67" s="23" t="n">
        <v>46198</v>
      </c>
      <c r="C67" s="12" t="inlineStr">
        <is>
          <t>Espacio Riesco</t>
        </is>
      </c>
      <c r="D67" s="10" t="n">
        <v>65641</v>
      </c>
      <c r="E67" s="46" t="n">
        <v>0.3</v>
      </c>
      <c r="F67" s="10" t="n">
        <v>19692.72</v>
      </c>
      <c r="G67" s="10" t="n">
        <v>45948.28</v>
      </c>
      <c r="H67" s="12" t="n"/>
      <c r="I67" s="24" t="inlineStr">
        <is>
          <t>Chile</t>
        </is>
      </c>
      <c r="J67" s="22" t="n">
        <v>26</v>
      </c>
      <c r="K67" s="24" t="inlineStr"/>
    </row>
    <row r="68">
      <c r="A68" s="25" t="n"/>
      <c r="B68" s="25" t="n"/>
      <c r="C68" s="16" t="inlineStr">
        <is>
          <t>Subtotal Chile</t>
        </is>
      </c>
      <c r="D68" s="17">
        <f>SUM(D66:D67)</f>
        <v/>
      </c>
      <c r="E68" s="25" t="n"/>
      <c r="F68" s="25" t="n"/>
      <c r="G68" s="17">
        <f>SUM(G66:G67)</f>
        <v/>
      </c>
      <c r="H68" s="25" t="n"/>
      <c r="I68" s="25" t="n"/>
      <c r="J68" s="25" t="n"/>
      <c r="K68" s="25" t="n"/>
    </row>
    <row r="69" ht="24" customHeight="1">
      <c r="A69" s="19" t="inlineStr">
        <is>
          <t>Uruguay   ·   evento 19 sep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8" customHeight="1">
      <c r="A70" s="20" t="inlineStr">
        <is>
          <t xml:space="preserve">      LUGAR</t>
        </is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s="22" t="inlineStr">
        <is>
          <t>Lugar</t>
        </is>
      </c>
      <c r="B71" s="23" t="n">
        <v>46114</v>
      </c>
      <c r="C71" s="12" t="inlineStr">
        <is>
          <t>Centro de Convenciones</t>
        </is>
      </c>
      <c r="D71" s="10" t="n">
        <v>61612</v>
      </c>
      <c r="E71" s="46" t="n">
        <v>0.3</v>
      </c>
      <c r="F71" s="10" t="n">
        <v>1000</v>
      </c>
      <c r="G71" s="10" t="n">
        <v>60612</v>
      </c>
      <c r="H71" s="12" t="n"/>
      <c r="I71" s="24" t="inlineStr">
        <is>
          <t>Uruguay</t>
        </is>
      </c>
      <c r="J71" s="22" t="n">
        <v>8</v>
      </c>
      <c r="K71" s="24" t="inlineStr"/>
    </row>
    <row r="72">
      <c r="A72" s="25" t="n"/>
      <c r="B72" s="25" t="n"/>
      <c r="C72" s="16" t="inlineStr">
        <is>
          <t>Subtotal Uruguay</t>
        </is>
      </c>
      <c r="D72" s="17">
        <f>SUM(D70:D71)</f>
        <v/>
      </c>
      <c r="E72" s="25" t="n"/>
      <c r="F72" s="25" t="n"/>
      <c r="G72" s="17">
        <f>SUM(G70:G71)</f>
        <v/>
      </c>
      <c r="H72" s="25" t="n"/>
      <c r="I72" s="25" t="n"/>
      <c r="J72" s="25" t="n"/>
      <c r="K72" s="25" t="n"/>
    </row>
    <row r="73" ht="24" customHeight="1">
      <c r="A73" s="19" t="inlineStr">
        <is>
          <t>Argentina   ·   evento 03 oct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8" customHeight="1">
      <c r="A74" s="20" t="inlineStr">
        <is>
          <t xml:space="preserve">      LUGAR</t>
        </is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</row>
    <row r="75">
      <c r="A75" s="22" t="inlineStr">
        <is>
          <t>Lugar</t>
        </is>
      </c>
      <c r="B75" s="23" t="n">
        <v>46139</v>
      </c>
      <c r="C75" s="12" t="inlineStr">
        <is>
          <t>La Rural</t>
        </is>
      </c>
      <c r="D75" s="10" t="n">
        <v>75000</v>
      </c>
      <c r="E75" s="12" t="inlineStr">
        <is>
          <t>?</t>
        </is>
      </c>
      <c r="F75" s="10" t="n">
        <v>43446</v>
      </c>
      <c r="G75" s="10" t="n">
        <v>31554</v>
      </c>
      <c r="H75" s="12" t="n"/>
      <c r="I75" s="24" t="inlineStr">
        <is>
          <t>Argentina</t>
        </is>
      </c>
      <c r="J75" s="22" t="n">
        <v>11</v>
      </c>
      <c r="K75" s="13" t="inlineStr">
        <is>
          <t>% del primer pago desconocido</t>
        </is>
      </c>
    </row>
    <row r="76" ht="18" customHeight="1">
      <c r="A76" s="20" t="inlineStr">
        <is>
          <t xml:space="preserve">      PRODUCCIÓN</t>
        </is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</row>
    <row r="77">
      <c r="A77" s="22" t="inlineStr">
        <is>
          <t>Producción</t>
        </is>
      </c>
      <c r="B77" s="12" t="n"/>
      <c r="C77" s="12" t="inlineStr">
        <is>
          <t>Intercoms</t>
        </is>
      </c>
      <c r="D77" s="10" t="n">
        <v>560</v>
      </c>
      <c r="E77" s="46" t="n">
        <v>1</v>
      </c>
      <c r="F77" s="12" t="inlineStr">
        <is>
          <t>Pendiente</t>
        </is>
      </c>
      <c r="G77" s="12" t="n"/>
      <c r="H77" s="12" t="n"/>
      <c r="I77" s="24" t="inlineStr">
        <is>
          <t>Argentina</t>
        </is>
      </c>
      <c r="J77" s="22" t="n">
        <v>38</v>
      </c>
      <c r="K77" s="13" t="inlineStr">
        <is>
          <t>Sin abonar según MASTER — revisar contra el CALENDARIO</t>
        </is>
      </c>
    </row>
    <row r="78" ht="18" customHeight="1">
      <c r="A78" s="20" t="inlineStr">
        <is>
          <t xml:space="preserve">      MERCH</t>
        </is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</row>
    <row r="79">
      <c r="A79" s="22" t="inlineStr">
        <is>
          <t>Merch</t>
        </is>
      </c>
      <c r="B79" s="23" t="n">
        <v>46198</v>
      </c>
      <c r="C79" s="12" t="inlineStr">
        <is>
          <t>GORRAS</t>
        </is>
      </c>
      <c r="D79" s="10" t="n">
        <v>1825</v>
      </c>
      <c r="E79" s="46" t="n">
        <v>0.5</v>
      </c>
      <c r="F79" s="10" t="n">
        <v>1825</v>
      </c>
      <c r="G79" s="10" t="n">
        <v>0</v>
      </c>
      <c r="H79" s="12" t="n"/>
      <c r="I79" s="24" t="inlineStr">
        <is>
          <t>Argentina</t>
        </is>
      </c>
      <c r="J79" s="22" t="n">
        <v>23</v>
      </c>
      <c r="K79" s="24" t="inlineStr"/>
    </row>
    <row r="80">
      <c r="A80" s="22" t="inlineStr">
        <is>
          <t>Merch</t>
        </is>
      </c>
      <c r="B80" s="23" t="n">
        <v>46198</v>
      </c>
      <c r="C80" s="12" t="inlineStr">
        <is>
          <t>GRAFICA ARG</t>
        </is>
      </c>
      <c r="D80" s="10" t="n">
        <v>2481</v>
      </c>
      <c r="E80" s="46" t="n">
        <v>0.5</v>
      </c>
      <c r="F80" s="10" t="n">
        <v>642</v>
      </c>
      <c r="G80" s="10" t="n">
        <v>1839</v>
      </c>
      <c r="H80" s="12" t="n"/>
      <c r="I80" s="24" t="inlineStr">
        <is>
          <t>Argentina</t>
        </is>
      </c>
      <c r="J80" s="22" t="n">
        <v>24</v>
      </c>
      <c r="K80" s="24" t="inlineStr"/>
    </row>
    <row r="81">
      <c r="A81" s="22" t="inlineStr">
        <is>
          <t>Merch</t>
        </is>
      </c>
      <c r="B81" s="23" t="n">
        <v>46198</v>
      </c>
      <c r="C81" s="12" t="inlineStr">
        <is>
          <t>GRAFICA URU</t>
        </is>
      </c>
      <c r="D81" s="10" t="n">
        <v>1283</v>
      </c>
      <c r="E81" s="46" t="n">
        <v>0.5</v>
      </c>
      <c r="F81" s="10" t="n">
        <v>1241</v>
      </c>
      <c r="G81" s="10" t="n">
        <v>42</v>
      </c>
      <c r="H81" s="12" t="n"/>
      <c r="I81" s="24" t="inlineStr">
        <is>
          <t>Argentina</t>
        </is>
      </c>
      <c r="J81" s="22" t="n">
        <v>25</v>
      </c>
      <c r="K81" s="24" t="inlineStr"/>
    </row>
    <row r="82">
      <c r="A82" s="22" t="inlineStr">
        <is>
          <t>Merch</t>
        </is>
      </c>
      <c r="B82" s="23" t="n">
        <v>46198</v>
      </c>
      <c r="C82" s="12" t="inlineStr">
        <is>
          <t>LANYARDS</t>
        </is>
      </c>
      <c r="D82" s="10" t="n">
        <v>1698.59</v>
      </c>
      <c r="E82" s="46" t="n">
        <v>0.5</v>
      </c>
      <c r="F82" s="10" t="n">
        <v>849</v>
      </c>
      <c r="G82" s="10" t="n">
        <v>849.59</v>
      </c>
      <c r="H82" s="12" t="n"/>
      <c r="I82" s="24" t="inlineStr">
        <is>
          <t>Argentina</t>
        </is>
      </c>
      <c r="J82" s="22" t="n">
        <v>22</v>
      </c>
      <c r="K82" s="24" t="inlineStr"/>
    </row>
    <row r="83">
      <c r="A83" s="22" t="inlineStr">
        <is>
          <t>Merch</t>
        </is>
      </c>
      <c r="B83" s="23" t="n">
        <v>46197</v>
      </c>
      <c r="C83" s="12" t="inlineStr">
        <is>
          <t>Pañuelos</t>
        </is>
      </c>
      <c r="D83" s="10" t="n">
        <v>10982</v>
      </c>
      <c r="E83" s="46" t="n">
        <v>0.5</v>
      </c>
      <c r="F83" s="10" t="n">
        <v>5491</v>
      </c>
      <c r="G83" s="10" t="n">
        <v>5491</v>
      </c>
      <c r="H83" s="12" t="n"/>
      <c r="I83" s="24" t="inlineStr">
        <is>
          <t>Argentina</t>
        </is>
      </c>
      <c r="J83" s="22" t="n">
        <v>21</v>
      </c>
      <c r="K83" s="24" t="inlineStr"/>
    </row>
    <row r="84">
      <c r="A84" s="25" t="n"/>
      <c r="B84" s="25" t="n"/>
      <c r="C84" s="16" t="inlineStr">
        <is>
          <t>Subtotal Argentina</t>
        </is>
      </c>
      <c r="D84" s="17">
        <f>SUM(D74:D83)</f>
        <v/>
      </c>
      <c r="E84" s="25" t="n"/>
      <c r="F84" s="25" t="n"/>
      <c r="G84" s="17">
        <f>SUM(G74:G83)</f>
        <v/>
      </c>
      <c r="H84" s="25" t="n"/>
      <c r="I84" s="25" t="n"/>
      <c r="J84" s="25" t="n"/>
      <c r="K84" s="25" t="n"/>
    </row>
    <row r="85" ht="24" customHeight="1">
      <c r="A85" s="19" t="inlineStr">
        <is>
          <t>Salvador   ·   evento 10 oct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8" customHeight="1">
      <c r="A86" s="20" t="inlineStr">
        <is>
          <t xml:space="preserve">      LUGAR</t>
        </is>
      </c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</row>
    <row r="87">
      <c r="A87" s="22" t="inlineStr">
        <is>
          <t>Lugar</t>
        </is>
      </c>
      <c r="B87" s="23" t="n">
        <v>46189</v>
      </c>
      <c r="C87" s="12" t="inlineStr">
        <is>
          <t>Circulo militar</t>
        </is>
      </c>
      <c r="D87" s="10" t="n">
        <v>24589</v>
      </c>
      <c r="E87" s="12" t="inlineStr">
        <is>
          <t>?</t>
        </is>
      </c>
      <c r="F87" s="10" t="n">
        <v>7376</v>
      </c>
      <c r="G87" s="10" t="n">
        <v>17213</v>
      </c>
      <c r="H87" s="12" t="n"/>
      <c r="I87" s="24" t="inlineStr">
        <is>
          <t>Salvador</t>
        </is>
      </c>
      <c r="J87" s="22" t="n">
        <v>9</v>
      </c>
      <c r="K87" s="13" t="inlineStr">
        <is>
          <t>% del primer pago desconocido</t>
        </is>
      </c>
    </row>
    <row r="88">
      <c r="A88" s="25" t="n"/>
      <c r="B88" s="25" t="n"/>
      <c r="C88" s="16" t="inlineStr">
        <is>
          <t>Subtotal Salvador</t>
        </is>
      </c>
      <c r="D88" s="17">
        <f>SUM(D86:D87)</f>
        <v/>
      </c>
      <c r="E88" s="25" t="n"/>
      <c r="F88" s="25" t="n"/>
      <c r="G88" s="17">
        <f>SUM(G86:G87)</f>
        <v/>
      </c>
      <c r="H88" s="25" t="n"/>
      <c r="I88" s="25" t="n"/>
      <c r="J88" s="25" t="n"/>
      <c r="K88" s="25" t="n"/>
    </row>
    <row r="89" ht="24" customHeight="1">
      <c r="A89" s="19" t="inlineStr">
        <is>
          <t>Costa Rica   ·   evento 07 nov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8" customHeight="1">
      <c r="A90" s="20" t="inlineStr">
        <is>
          <t xml:space="preserve">      LUGAR</t>
        </is>
      </c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s="22" t="inlineStr">
        <is>
          <t>Lugar</t>
        </is>
      </c>
      <c r="B91" s="23" t="n">
        <v>46163</v>
      </c>
      <c r="C91" s="12" t="inlineStr">
        <is>
          <t>Centro de Convenciones</t>
        </is>
      </c>
      <c r="D91" s="10" t="n">
        <v>64989</v>
      </c>
      <c r="E91" s="46" t="n">
        <v>0.5</v>
      </c>
      <c r="F91" s="10" t="n">
        <v>32494</v>
      </c>
      <c r="G91" s="10" t="n">
        <v>32495</v>
      </c>
      <c r="H91" s="12" t="n"/>
      <c r="I91" s="24" t="inlineStr">
        <is>
          <t>Costa Rica</t>
        </is>
      </c>
      <c r="J91" s="22" t="n">
        <v>10</v>
      </c>
      <c r="K91" s="24" t="inlineStr"/>
    </row>
    <row r="92">
      <c r="A92" s="25" t="n"/>
      <c r="B92" s="25" t="n"/>
      <c r="C92" s="16" t="inlineStr">
        <is>
          <t>Subtotal Costa Rica</t>
        </is>
      </c>
      <c r="D92" s="17">
        <f>SUM(D90:D91)</f>
        <v/>
      </c>
      <c r="E92" s="25" t="n"/>
      <c r="F92" s="25" t="n"/>
      <c r="G92" s="17">
        <f>SUM(G90:G91)</f>
        <v/>
      </c>
      <c r="H92" s="25" t="n"/>
      <c r="I92" s="25" t="n"/>
      <c r="J92" s="25" t="n"/>
      <c r="K92" s="25" t="n"/>
    </row>
    <row r="93" ht="24" customHeight="1">
      <c r="A93" s="19" t="inlineStr">
        <is>
          <t>Guatemala   ·   evento 21 nov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8" customHeight="1">
      <c r="A94" s="20" t="inlineStr">
        <is>
          <t xml:space="preserve">      LUGAR</t>
        </is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s="22" t="inlineStr">
        <is>
          <t>Lugar</t>
        </is>
      </c>
      <c r="B95" s="23" t="n">
        <v>46164</v>
      </c>
      <c r="C95" s="12" t="inlineStr">
        <is>
          <t>Parque de la industria</t>
        </is>
      </c>
      <c r="D95" s="10" t="n">
        <v>5000</v>
      </c>
      <c r="E95" s="12" t="inlineStr">
        <is>
          <t>?</t>
        </is>
      </c>
      <c r="F95" s="10" t="n">
        <v>1500</v>
      </c>
      <c r="G95" s="10" t="n">
        <v>3500</v>
      </c>
      <c r="H95" s="12" t="n"/>
      <c r="I95" s="24" t="inlineStr">
        <is>
          <t>Guatemala</t>
        </is>
      </c>
      <c r="J95" s="22" t="n">
        <v>13</v>
      </c>
      <c r="K95" s="13" t="inlineStr">
        <is>
          <t>% del primer pago desconocido</t>
        </is>
      </c>
    </row>
    <row r="96" ht="18" customHeight="1">
      <c r="A96" s="20" t="inlineStr">
        <is>
          <t xml:space="preserve">      TRÁMITES</t>
        </is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A97" s="22" t="inlineStr">
        <is>
          <t>Trámites</t>
        </is>
      </c>
      <c r="B97" s="23" t="n">
        <v>46164</v>
      </c>
      <c r="C97" s="12" t="inlineStr">
        <is>
          <t>Michelle Taylor</t>
        </is>
      </c>
      <c r="D97" s="10" t="n">
        <v>1000</v>
      </c>
      <c r="E97" s="46" t="n">
        <v>0.5</v>
      </c>
      <c r="F97" s="10" t="n">
        <v>500</v>
      </c>
      <c r="G97" s="10" t="n">
        <v>500</v>
      </c>
      <c r="H97" s="12" t="n"/>
      <c r="I97" s="24" t="inlineStr">
        <is>
          <t>Guatemala</t>
        </is>
      </c>
      <c r="J97" s="22" t="n">
        <v>12</v>
      </c>
      <c r="K97" s="24" t="inlineStr"/>
    </row>
    <row r="98">
      <c r="A98" s="25" t="n"/>
      <c r="B98" s="25" t="n"/>
      <c r="C98" s="16" t="inlineStr">
        <is>
          <t>Subtotal Guatemala</t>
        </is>
      </c>
      <c r="D98" s="17">
        <f>SUM(D94:D97)</f>
        <v/>
      </c>
      <c r="E98" s="25" t="n"/>
      <c r="F98" s="25" t="n"/>
      <c r="G98" s="17">
        <f>SUM(G94:G97)</f>
        <v/>
      </c>
      <c r="H98" s="25" t="n"/>
      <c r="I98" s="25" t="n"/>
      <c r="J98" s="25" t="n"/>
      <c r="K98" s="25" t="n"/>
    </row>
    <row r="100">
      <c r="C100" s="4" t="inlineStr">
        <is>
          <t>TOTAL contratado</t>
        </is>
      </c>
      <c r="D100" s="17">
        <f>D24+D37+D48+D60+D64+D68+D72+D84+D88+D92+D98</f>
        <v/>
      </c>
      <c r="G100" s="17">
        <f>G24+G37+G48+G60+G64+G68+G72+G84+G88+G92+G98</f>
        <v/>
      </c>
    </row>
  </sheetData>
  <autoFilter ref="A4:K4"/>
  <mergeCells count="40">
    <mergeCell ref="A34:K34"/>
    <mergeCell ref="A30:K30"/>
    <mergeCell ref="A39:K39"/>
    <mergeCell ref="A15:K15"/>
    <mergeCell ref="A73:K73"/>
    <mergeCell ref="A11:K11"/>
    <mergeCell ref="A49:K49"/>
    <mergeCell ref="A1:K1"/>
    <mergeCell ref="A45:K45"/>
    <mergeCell ref="A70:K70"/>
    <mergeCell ref="A94:K94"/>
    <mergeCell ref="A61:K61"/>
    <mergeCell ref="A6:K6"/>
    <mergeCell ref="A69:K69"/>
    <mergeCell ref="A78:K78"/>
    <mergeCell ref="A25:K25"/>
    <mergeCell ref="A65:K65"/>
    <mergeCell ref="A41:K41"/>
    <mergeCell ref="A90:K90"/>
    <mergeCell ref="A66:K66"/>
    <mergeCell ref="A89:K89"/>
    <mergeCell ref="A74:K74"/>
    <mergeCell ref="A50:K50"/>
    <mergeCell ref="A26:K26"/>
    <mergeCell ref="A86:K86"/>
    <mergeCell ref="A85:K85"/>
    <mergeCell ref="A32:K32"/>
    <mergeCell ref="A76:K76"/>
    <mergeCell ref="A5:K5"/>
    <mergeCell ref="A17:K17"/>
    <mergeCell ref="A22:K22"/>
    <mergeCell ref="A62:K62"/>
    <mergeCell ref="A96:K96"/>
    <mergeCell ref="A43:K43"/>
    <mergeCell ref="A38:K38"/>
    <mergeCell ref="A52:K52"/>
    <mergeCell ref="A28:K28"/>
    <mergeCell ref="A93:K93"/>
    <mergeCell ref="A13:K13"/>
    <mergeCell ref="A9:K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9" customWidth="1" min="3" max="3"/>
    <col width="18" customWidth="1" min="4" max="4"/>
    <col width="12" customWidth="1" min="5" max="5"/>
    <col width="14" customWidth="1" min="6" max="6"/>
    <col width="16" customWidth="1" min="7" max="7"/>
    <col width="14" customWidth="1" min="8" max="8"/>
    <col width="52" customWidth="1" min="9" max="9"/>
    <col width="40" customWidth="1" min="10" max="10"/>
  </cols>
  <sheetData>
    <row r="1" ht="34" customHeight="1">
      <c r="A1" s="1" t="inlineStr">
        <is>
          <t>Presupuesto por evento y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Cada hoja del MASTER está en su moneda. Acá se documenta la tasa usada y por qué.</t>
        </is>
      </c>
    </row>
    <row r="4" ht="30" customHeight="1">
      <c r="A4" s="8" t="inlineStr">
        <is>
          <t>País</t>
        </is>
      </c>
      <c r="B4" s="8" t="inlineStr">
        <is>
          <t>Hoja origen</t>
        </is>
      </c>
      <c r="C4" s="8" t="inlineStr">
        <is>
          <t>Moneda</t>
        </is>
      </c>
      <c r="D4" s="8" t="inlineStr">
        <is>
          <t>Total en moneda local</t>
        </is>
      </c>
      <c r="E4" s="8" t="inlineStr">
        <is>
          <t>Tasa a USD</t>
        </is>
      </c>
      <c r="F4" s="8" t="inlineStr">
        <is>
          <t>Total USD</t>
        </is>
      </c>
      <c r="G4" s="8" t="inlineStr">
        <is>
          <t>Pagado local</t>
        </is>
      </c>
      <c r="H4" s="8" t="inlineStr">
        <is>
          <t>Pagado USD</t>
        </is>
      </c>
      <c r="I4" s="8" t="inlineStr">
        <is>
          <t>Nota FX</t>
        </is>
      </c>
      <c r="J4" s="8" t="inlineStr">
        <is>
          <t>Fecha en el MASTER</t>
        </is>
      </c>
    </row>
    <row r="5">
      <c r="A5" s="9" t="inlineStr">
        <is>
          <t>Ecuador</t>
        </is>
      </c>
      <c r="B5" s="12" t="inlineStr">
        <is>
          <t>Ecuador (25 Jul-26 Jul)</t>
        </is>
      </c>
      <c r="C5" s="12" t="inlineStr">
        <is>
          <t>USD</t>
        </is>
      </c>
      <c r="D5" s="47" t="n">
        <v>80279.72500000001</v>
      </c>
      <c r="E5" s="48" t="n">
        <v>1</v>
      </c>
      <c r="F5" s="11">
        <f>D5*E5</f>
        <v/>
      </c>
      <c r="G5" s="47" t="n">
        <v>73773.64999999999</v>
      </c>
      <c r="H5" s="11">
        <f>IF(G5="","",G5*E5)</f>
        <v/>
      </c>
      <c r="I5" s="24" t="inlineStr">
        <is>
          <t>USD directo</t>
        </is>
      </c>
      <c r="J5" s="12" t="inlineStr">
        <is>
          <t>Quito, Ecuador Sabado 25/07/2026 Domingo 26/07/2026</t>
        </is>
      </c>
    </row>
    <row r="6">
      <c r="A6" s="9" t="inlineStr">
        <is>
          <t>Panamá</t>
        </is>
      </c>
      <c r="B6" s="12" t="inlineStr">
        <is>
          <t>Panama (09 ago-10 ago)</t>
        </is>
      </c>
      <c r="C6" s="12" t="inlineStr">
        <is>
          <t>USD</t>
        </is>
      </c>
      <c r="D6" s="47" t="n">
        <v>71839.065</v>
      </c>
      <c r="E6" s="48" t="n">
        <v>1</v>
      </c>
      <c r="F6" s="11">
        <f>D6*E6</f>
        <v/>
      </c>
      <c r="G6" s="47" t="n">
        <v>71372</v>
      </c>
      <c r="H6" s="11">
        <f>IF(G6="","",G6*E6)</f>
        <v/>
      </c>
      <c r="I6" s="24" t="inlineStr">
        <is>
          <t>USD directo</t>
        </is>
      </c>
      <c r="J6" s="12" t="inlineStr">
        <is>
          <t>Panama City, Panama -Sabado 09/08/2026 Domingo 10/08/2026</t>
        </is>
      </c>
    </row>
    <row r="7">
      <c r="A7" s="9" t="inlineStr">
        <is>
          <t>Rep. Dominicana</t>
        </is>
      </c>
      <c r="B7" s="12" t="inlineStr">
        <is>
          <t>Rep D. (15 ago-16 ago)</t>
        </is>
      </c>
      <c r="C7" s="12" t="inlineStr">
        <is>
          <t>USD</t>
        </is>
      </c>
      <c r="D7" s="47" t="n">
        <v>68110.9408</v>
      </c>
      <c r="E7" s="48" t="n">
        <v>1</v>
      </c>
      <c r="F7" s="11">
        <f>D7*E7</f>
        <v/>
      </c>
      <c r="G7" s="47" t="n">
        <v>68110.9408</v>
      </c>
      <c r="H7" s="11">
        <f>IF(G7="","",G7*E7)</f>
        <v/>
      </c>
      <c r="I7" s="24" t="inlineStr">
        <is>
          <t>Hoja ya en USD (tasa 1.0)</t>
        </is>
      </c>
      <c r="J7" s="12" t="inlineStr">
        <is>
          <t>Santo Domingo, Republica Dominicana -Sabado 15/08/2026 Domingo 16/08/2026</t>
        </is>
      </c>
    </row>
    <row r="8">
      <c r="A8" s="9" t="inlineStr">
        <is>
          <t>Colombia</t>
        </is>
      </c>
      <c r="B8" s="12" t="inlineStr">
        <is>
          <t>Colombia (29 ago - 30 ago)</t>
        </is>
      </c>
      <c r="C8" s="12" t="inlineStr">
        <is>
          <t>COP</t>
        </is>
      </c>
      <c r="D8" s="47" t="n">
        <v>478695540</v>
      </c>
      <c r="E8" s="48" t="n">
        <v>0.0002702702702702703</v>
      </c>
      <c r="F8" s="11">
        <f>D8*E8</f>
        <v/>
      </c>
      <c r="G8" s="47" t="n">
        <v>0</v>
      </c>
      <c r="H8" s="11">
        <f>IF(G8="","",G8*E8)</f>
        <v/>
      </c>
      <c r="I8" s="13" t="inlineStr">
        <is>
          <t>Presupuesto /3700; la columna PAGADO usa /4080</t>
        </is>
      </c>
      <c r="J8" s="12" t="inlineStr">
        <is>
          <t>Medellin, Colombia -Sabado 26/09/2026 Domingo 27/09/2026</t>
        </is>
      </c>
    </row>
    <row r="9">
      <c r="A9" s="9" t="inlineStr">
        <is>
          <t>México</t>
        </is>
      </c>
      <c r="B9" s="12" t="inlineStr">
        <is>
          <t>Mexico (5 sep - 6 sep)</t>
        </is>
      </c>
      <c r="C9" s="12" t="inlineStr">
        <is>
          <t>MXN</t>
        </is>
      </c>
      <c r="D9" s="47" t="n">
        <v>803654</v>
      </c>
      <c r="E9" s="48" t="n">
        <v>0.059</v>
      </c>
      <c r="F9" s="11">
        <f>D9*E9</f>
        <v/>
      </c>
      <c r="G9" s="47" t="n">
        <v>320624</v>
      </c>
      <c r="H9" s="11">
        <f>IF(G9="","",G9*E9)</f>
        <v/>
      </c>
      <c r="I9" s="13" t="inlineStr">
        <is>
          <t>Presupuesto x0.059; la columna PAGADO usa x0.051</t>
        </is>
      </c>
      <c r="J9" s="12" t="inlineStr">
        <is>
          <t>CDMX, Mexico -Sabado 1/11/2026 Domingo 2/11/2026</t>
        </is>
      </c>
    </row>
    <row r="10">
      <c r="A10" s="9" t="inlineStr">
        <is>
          <t>Chile</t>
        </is>
      </c>
      <c r="B10" s="12" t="inlineStr">
        <is>
          <t>Chile (12 sep-13 sep)</t>
        </is>
      </c>
      <c r="C10" s="12" t="inlineStr">
        <is>
          <t>USD</t>
        </is>
      </c>
      <c r="D10" s="47" t="n">
        <v>148642.4</v>
      </c>
      <c r="E10" s="48" t="n">
        <v>1</v>
      </c>
      <c r="F10" s="11">
        <f>D10*E10</f>
        <v/>
      </c>
      <c r="G10" s="47" t="n">
        <v>3.485</v>
      </c>
      <c r="H10" s="11">
        <f>IF(G10="","",G10*E10)</f>
        <v/>
      </c>
      <c r="I10" s="13" t="inlineStr">
        <is>
          <t>Celda de tasa vacia/0 -&gt; se toma como USD</t>
        </is>
      </c>
      <c r="J10" s="12" t="inlineStr">
        <is>
          <t>Chile -Sabado 12/09/2026 Domingo 13/09/2026</t>
        </is>
      </c>
    </row>
    <row r="11">
      <c r="A11" s="9" t="inlineStr">
        <is>
          <t>Uruguay</t>
        </is>
      </c>
      <c r="B11" s="12" t="inlineStr">
        <is>
          <t>Uruguay (19 sep-20 sep)</t>
        </is>
      </c>
      <c r="C11" s="12" t="inlineStr">
        <is>
          <t>USD</t>
        </is>
      </c>
      <c r="D11" s="47" t="n">
        <v>88265.08</v>
      </c>
      <c r="E11" s="48" t="n">
        <v>1</v>
      </c>
      <c r="F11" s="11">
        <f>D11*E11</f>
        <v/>
      </c>
      <c r="G11" s="47" t="n">
        <v>0</v>
      </c>
      <c r="H11" s="11">
        <f>IF(G11="","",G11*E11)</f>
        <v/>
      </c>
      <c r="I11" s="24" t="inlineStr">
        <is>
          <t>Celda de tasa 0 -&gt; se toma como USD</t>
        </is>
      </c>
      <c r="J11" s="12" t="inlineStr">
        <is>
          <t>Punta del Este, Uruguay -Sabado 19/09/2026 Domingo 20/09/2026</t>
        </is>
      </c>
    </row>
    <row r="12">
      <c r="A12" s="9" t="inlineStr">
        <is>
          <t>Costa Rica</t>
        </is>
      </c>
      <c r="B12" s="12" t="inlineStr">
        <is>
          <t>Costa Rica (1 ago-2 ago)</t>
        </is>
      </c>
      <c r="C12" s="12" t="inlineStr">
        <is>
          <t>USD</t>
        </is>
      </c>
      <c r="D12" s="47" t="n">
        <v>77920.2461</v>
      </c>
      <c r="E12" s="48" t="n">
        <v>1</v>
      </c>
      <c r="F12" s="11">
        <f>D12*E12</f>
        <v/>
      </c>
      <c r="G12" s="47" t="n">
        <v>0</v>
      </c>
      <c r="H12" s="11">
        <f>IF(G12="","",G12*E12)</f>
        <v/>
      </c>
      <c r="I12" s="13" t="inlineStr">
        <is>
          <t>Sin celda de tasa</t>
        </is>
      </c>
      <c r="J12" s="12" t="inlineStr">
        <is>
          <t>San José, Costa Rica -Sabado 01/08/2026 Domingo 02/08/2026</t>
        </is>
      </c>
    </row>
    <row r="13">
      <c r="A13" s="9" t="inlineStr">
        <is>
          <t>Argentina</t>
        </is>
      </c>
      <c r="B13" s="12" t="inlineStr">
        <is>
          <t>Argentina (3 oct-4 oct)</t>
        </is>
      </c>
      <c r="C13" s="12" t="inlineStr">
        <is>
          <t>USD</t>
        </is>
      </c>
      <c r="D13" s="47" t="n">
        <v>176159</v>
      </c>
      <c r="E13" s="48" t="n">
        <v>1</v>
      </c>
      <c r="F13" s="11">
        <f>D13*E13</f>
        <v/>
      </c>
      <c r="G13" s="47" t="n">
        <v>0</v>
      </c>
      <c r="H13" s="11">
        <f>IF(G13="","",G13*E13)</f>
        <v/>
      </c>
      <c r="I13" s="24" t="inlineStr">
        <is>
          <t>Tasa 1.0</t>
        </is>
      </c>
      <c r="J13" s="12" t="inlineStr">
        <is>
          <t>Buenos Aires, Argentina -Sabado 3/010/2026 Domingo 4/10/2026</t>
        </is>
      </c>
    </row>
    <row r="14">
      <c r="A14" s="9" t="inlineStr">
        <is>
          <t>Salvador</t>
        </is>
      </c>
      <c r="B14" s="12" t="inlineStr">
        <is>
          <t>Salvador (7 nov-8 nov)</t>
        </is>
      </c>
      <c r="C14" s="12" t="inlineStr">
        <is>
          <t>USD</t>
        </is>
      </c>
      <c r="D14" s="47" t="n">
        <v>61904.2815</v>
      </c>
      <c r="E14" s="48" t="n">
        <v>1</v>
      </c>
      <c r="F14" s="11">
        <f>D14*E14</f>
        <v/>
      </c>
      <c r="G14" s="47" t="n">
        <v>0</v>
      </c>
      <c r="H14" s="11">
        <f>IF(G14="","",G14*E14)</f>
        <v/>
      </c>
      <c r="I14" s="13" t="inlineStr">
        <is>
          <t>Tasa heredada de Mexico (link roto)</t>
        </is>
      </c>
      <c r="J14" s="12" t="inlineStr">
        <is>
          <t>San Salvador, Salvador -Sabado 07/11/2026 Domingo 08/11/2026</t>
        </is>
      </c>
    </row>
    <row r="15">
      <c r="A15" s="9" t="inlineStr">
        <is>
          <t>Guatemala</t>
        </is>
      </c>
      <c r="B15" s="12" t="inlineStr">
        <is>
          <t>Guatemala (14 nov-15 nov)</t>
        </is>
      </c>
      <c r="C15" s="12" t="inlineStr">
        <is>
          <t>USD</t>
        </is>
      </c>
      <c r="D15" s="47" t="n">
        <v>35333.97</v>
      </c>
      <c r="E15" s="48" t="n">
        <v>1</v>
      </c>
      <c r="F15" s="11">
        <f>D15*E15</f>
        <v/>
      </c>
      <c r="G15" s="47" t="n">
        <v>0</v>
      </c>
      <c r="H15" s="11">
        <f>IF(G15="","",G15*E15)</f>
        <v/>
      </c>
      <c r="I15" s="13" t="inlineStr">
        <is>
          <t>Tasa heredada de Mexico (link roto)</t>
        </is>
      </c>
      <c r="J15" s="12" t="inlineStr">
        <is>
          <t>Ciudad de Guatemala, Guatemana-Sabado 14/11/2026 Domingo 15/11/2026</t>
        </is>
      </c>
    </row>
    <row r="16">
      <c r="A16" s="9" t="inlineStr">
        <is>
          <t>Perú</t>
        </is>
      </c>
      <c r="B16" s="12" t="inlineStr">
        <is>
          <t>Perú</t>
        </is>
      </c>
      <c r="C16" s="12" t="inlineStr">
        <is>
          <t>USD</t>
        </is>
      </c>
      <c r="D16" s="47" t="n">
        <v>51504.27</v>
      </c>
      <c r="E16" s="48" t="n">
        <v>1</v>
      </c>
      <c r="F16" s="11">
        <f>D16*E16</f>
        <v/>
      </c>
      <c r="G16" s="47" t="n">
        <v>0</v>
      </c>
      <c r="H16" s="11">
        <f>IF(G16="","",G16*E16)</f>
        <v/>
      </c>
      <c r="I16" s="13" t="inlineStr">
        <is>
          <t>Tasa heredada de Mexico (link roto)</t>
        </is>
      </c>
      <c r="J16" s="12" t="inlineStr">
        <is>
          <t>Lima, Perú -Sabado //2026 Domingo //2026</t>
        </is>
      </c>
    </row>
    <row r="17">
      <c r="A17" s="9" t="inlineStr">
        <is>
          <t>España</t>
        </is>
      </c>
      <c r="B17" s="12" t="inlineStr">
        <is>
          <t>España (28 nov-29 nov)</t>
        </is>
      </c>
      <c r="C17" s="12" t="inlineStr">
        <is>
          <t>EUR</t>
        </is>
      </c>
      <c r="D17" s="47" t="n">
        <v>44545.75</v>
      </c>
      <c r="E17" s="48" t="n">
        <v>1.15</v>
      </c>
      <c r="F17" s="11">
        <f>D17*E17</f>
        <v/>
      </c>
      <c r="G17" s="47" t="n">
        <v>0</v>
      </c>
      <c r="H17" s="11">
        <f>IF(G17="","",G17*E17)</f>
        <v/>
      </c>
      <c r="I17" s="13" t="inlineStr">
        <is>
          <t>EUR x1.15</t>
        </is>
      </c>
      <c r="J17" s="12" t="inlineStr">
        <is>
          <t>Madrid, España -Sabado 28/11/2026 Domingo 29/11/2026</t>
        </is>
      </c>
    </row>
    <row r="18">
      <c r="A18" s="4" t="inlineStr">
        <is>
          <t>TOTAL</t>
        </is>
      </c>
      <c r="F18" s="49">
        <f>SUM(F5:F17)</f>
        <v/>
      </c>
      <c r="H18" s="49">
        <f>SUM(H5:H17)</f>
        <v/>
      </c>
    </row>
    <row r="20">
      <c r="A20" s="3" t="inlineStr">
        <is>
          <t>Colombia 2da (31/10/2026) no tiene hoja de presupuesto en el MASTER: su costo no está dentro de este total.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4" customWidth="1" min="3" max="3"/>
    <col width="72" customWidth="1" min="4" max="4"/>
    <col width="14" customWidth="1" min="5" max="5"/>
    <col width="52" customWidth="1" min="6" max="6"/>
  </cols>
  <sheetData>
    <row r="1" ht="34" customHeight="1">
      <c r="A1" s="1" t="inlineStr">
        <is>
          <t>Hallazgos de la conciliación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Ordenados por impacto. La columna "Acción" es lo que hay que decidir.</t>
        </is>
      </c>
    </row>
    <row r="4" ht="30" customHeight="1">
      <c r="A4" s="8" t="inlineStr">
        <is>
          <t>#</t>
        </is>
      </c>
      <c r="B4" s="8" t="inlineStr">
        <is>
          <t>Severidad</t>
        </is>
      </c>
      <c r="C4" s="8" t="inlineStr">
        <is>
          <t>Hallazgo</t>
        </is>
      </c>
      <c r="D4" s="8" t="inlineStr">
        <is>
          <t>Evidencia</t>
        </is>
      </c>
      <c r="E4" s="8" t="inlineStr">
        <is>
          <t>Impacto USD</t>
        </is>
      </c>
      <c r="F4" s="8" t="inlineStr">
        <is>
          <t>Acción</t>
        </is>
      </c>
    </row>
    <row r="5" ht="46" customHeight="1">
      <c r="A5" s="50" t="n">
        <v>1</v>
      </c>
      <c r="B5" s="51" t="inlineStr">
        <is>
          <t>ALTA</t>
        </is>
      </c>
      <c r="C5" s="52" t="inlineStr">
        <is>
          <t>El informe quincenal sobrestima el pendiente</t>
        </is>
      </c>
      <c r="D5" s="50" t="inlineStr">
        <is>
          <t>Las hojas PRESUPUESTO QUINCENAL y VISTA POR EVENTO suman las 54 filas del calendario, incluidas las 29 ya marcadas "Pagado". Informan $417.765,32 de pendiente.</t>
        </is>
      </c>
      <c r="E5" s="53" t="n">
        <v>188854.32</v>
      </c>
      <c r="F5" s="50" t="inlineStr">
        <is>
          <t>Reemplazar el informe a finanzas por la hoja TABLERO. Pendiente real: $228.911,00.</t>
        </is>
      </c>
    </row>
    <row r="6" ht="46" customHeight="1">
      <c r="A6" s="50" t="n">
        <v>2</v>
      </c>
      <c r="B6" s="51" t="inlineStr">
        <is>
          <t>ALTA</t>
        </is>
      </c>
      <c r="C6" s="52" t="inlineStr">
        <is>
          <t>Cuotas vencidas sin pagar</t>
        </is>
      </c>
      <c r="D6" s="50" t="inlineStr">
        <is>
          <t>10 cuotas en estado "Programado" con fecha anterior al 02/09/2026. La más vieja lleva 54 días (Colombia merch, 10/07).</t>
        </is>
      </c>
      <c r="E6" s="53" t="n">
        <v>106250.5</v>
      </c>
      <c r="F6" s="50" t="inlineStr">
        <is>
          <t>Confirmar con Erick cuáles se pagaron y no se marcaron, y cuáles están realmente en mora.</t>
        </is>
      </c>
    </row>
    <row r="7" ht="46" customHeight="1">
      <c r="A7" s="50" t="n">
        <v>3</v>
      </c>
      <c r="B7" s="51" t="inlineStr">
        <is>
          <t>ALTA</t>
        </is>
      </c>
      <c r="C7" s="52" t="inlineStr">
        <is>
          <t>Las dos fuentes no cierran en pagos</t>
        </is>
      </c>
      <c r="D7" s="50" t="inlineStr">
        <is>
          <t>Suma de diferencias absolutas por país entre "pagado según la hoja del evento" y "pagado según el cronograma".</t>
        </is>
      </c>
      <c r="E7" s="53" t="n">
        <v>275818.32</v>
      </c>
      <c r="F7" s="50" t="inlineStr">
        <is>
          <t>Definir cuál archivo es la fuente de verdad de PAGOS. Propuesta: el consolidado, alimentado por el agente.</t>
        </is>
      </c>
    </row>
    <row r="8" ht="46" customHeight="1">
      <c r="A8" s="50" t="n">
        <v>4</v>
      </c>
      <c r="B8" s="51" t="inlineStr">
        <is>
          <t>ALTA</t>
        </is>
      </c>
      <c r="C8" s="52" t="inlineStr">
        <is>
          <t>Colombia: $86.480 pagados que la hoja del evento reporta como $0</t>
        </is>
      </c>
      <c r="D8" s="50" t="inlineStr">
        <is>
          <t>City Hall 2 x $36.500 + merch figuran "Pagado" en el cronograma. Las 64 líneas de la hoja Colombia tienen la columna Pago en 0.</t>
        </is>
      </c>
      <c r="E8" s="53" t="n">
        <v>86480</v>
      </c>
      <c r="F8" s="50" t="inlineStr">
        <is>
          <t>Cargar los pagos en la hoja de Colombia o migrar a este consolidado.</t>
        </is>
      </c>
    </row>
    <row r="9" ht="46" customHeight="1">
      <c r="A9" s="50" t="n">
        <v>5</v>
      </c>
      <c r="B9" s="51" t="inlineStr">
        <is>
          <t>ALTA</t>
        </is>
      </c>
      <c r="C9" s="52" t="inlineStr">
        <is>
          <t>Fechas de evento en conflicto entre archivos</t>
        </is>
      </c>
      <c r="D9" s="50" t="inlineStr">
        <is>
          <t>Colombia: 29/08 vs 26-27/09 · México: 05/09 vs 01-02/11 · Costa Rica: 07/11 vs 01-02/08 · Salvador: 10/10 vs 07-08/11 · Guatemala: 21/11 vs 14-15/11 · Panamá: 08/08 vs 09-10/08.</t>
        </is>
      </c>
      <c r="E9" s="53" t="n"/>
      <c r="F9" s="50" t="inlineStr">
        <is>
          <t>Fijar el calendario real de la gira. Toda la regla de pagos ("Lugar: 10 días antes") depende de esta fecha.</t>
        </is>
      </c>
    </row>
    <row r="10" ht="46" customHeight="1">
      <c r="A10" s="50" t="n">
        <v>6</v>
      </c>
      <c r="B10" s="51" t="inlineStr">
        <is>
          <t>ALTA</t>
        </is>
      </c>
      <c r="C10" s="52" t="inlineStr">
        <is>
          <t>14 contratos sin ningún dato de pago en el MASTER</t>
        </is>
      </c>
      <c r="D10" s="50" t="inlineStr">
        <is>
          <t>City Hall $73.000, Crowne Plaza $34.000, Plataforma AV Panamá y RD $15.000 c/u, Faranda $2.000, Wyndham Quintas $1.706, Varillas, Impresos, Unifilas, Ambulancia, Bolsas.</t>
        </is>
      </c>
      <c r="E10" s="53" t="n">
        <v>150382</v>
      </c>
      <c r="F10" s="50" t="inlineStr">
        <is>
          <t>La única traza de esos pagos es el cronograma. Adjuntar comprobantes antes del cierre contable.</t>
        </is>
      </c>
    </row>
    <row r="11" ht="46" customHeight="1">
      <c r="A11" s="50" t="n">
        <v>7</v>
      </c>
      <c r="B11" s="54" t="inlineStr">
        <is>
          <t>MEDIA</t>
        </is>
      </c>
      <c r="C11" s="52" t="inlineStr">
        <is>
          <t>Salvador tiene dos sedes vivas</t>
        </is>
      </c>
      <c r="D11" s="50" t="inlineStr">
        <is>
          <t>Contrato pagado y programado: Círculo Militar ($24.589, $7.376 abonado). La hoja del evento presupuesta Hotel Hilton ($31.000 sala + $7.890 técnica).</t>
        </is>
      </c>
      <c r="E11" s="53" t="n">
        <v>31000</v>
      </c>
      <c r="F11" s="50" t="inlineStr">
        <is>
          <t>Confirmar sede con Aleja. Si se cambió, reclamar o reasignar el anticipo del Círculo Militar.</t>
        </is>
      </c>
    </row>
    <row r="12" ht="46" customHeight="1">
      <c r="A12" s="50" t="n">
        <v>8</v>
      </c>
      <c r="B12" s="54" t="inlineStr">
        <is>
          <t>MEDIA</t>
        </is>
      </c>
      <c r="C12" s="52" t="inlineStr">
        <is>
          <t>Panamá: sala Mastermind pagada en dos hoteles</t>
        </is>
      </c>
      <c r="D12" s="50" t="inlineStr">
        <is>
          <t>El cronograma pagó Faranda "Salas MM" $2.000 en dos cuotas. La hoja Panamá registra $1.190 en Faranda y $1.375 en Hotel America Golden Tower, ambos pagados.</t>
        </is>
      </c>
      <c r="E12" s="53" t="n">
        <v>810</v>
      </c>
      <c r="F12" s="50" t="inlineStr">
        <is>
          <t>Reclamar el crédito no usado en Faranda (~$810).</t>
        </is>
      </c>
    </row>
    <row r="13" ht="46" customHeight="1">
      <c r="A13" s="50" t="n">
        <v>9</v>
      </c>
      <c r="B13" s="54" t="inlineStr">
        <is>
          <t>MEDIA</t>
        </is>
      </c>
      <c r="C13" s="52" t="inlineStr">
        <is>
          <t>Contradicciones de estado en 5 conceptos</t>
        </is>
      </c>
      <c r="D13" s="50" t="inlineStr">
        <is>
          <t>Placas reconocimiento EC $390, Camisetas CO $433, Tarjetas platino CO $611, Intercoms AR $560: el cronograma los da por pagados o parcialmente pagados, el MASTER dice "Pendiente".</t>
        </is>
      </c>
      <c r="E13" s="53" t="n">
        <v>1994</v>
      </c>
      <c r="F13" s="50" t="inlineStr">
        <is>
          <t>Verificar contra extractos bancarios y unificar el estado en este consolidado.</t>
        </is>
      </c>
    </row>
    <row r="14" ht="46" customHeight="1">
      <c r="A14" s="50" t="n">
        <v>10</v>
      </c>
      <c r="B14" s="54" t="inlineStr">
        <is>
          <t>MEDIA</t>
        </is>
      </c>
      <c r="C14" s="52" t="inlineStr">
        <is>
          <t>Ecuador cerró con saldo sin liquidar</t>
        </is>
      </c>
      <c r="D14" s="50" t="inlineStr">
        <is>
          <t>Evento del 25-26/07. Quinta by Wyndham: hospedaje $3.110 y salas MM/empresarios $2.082 sin pagar. Vuelos LATAM cruzados: $1.564 imputados a un sobrepeso de $260 y sólo $299 de $2.917 de vuelos.</t>
        </is>
      </c>
      <c r="E14" s="53" t="n">
        <v>6506.07</v>
      </c>
      <c r="F14" s="50" t="inlineStr">
        <is>
          <t>Liquidar con el hotel y corregir la imputación de LATAM.</t>
        </is>
      </c>
    </row>
    <row r="15" ht="46" customHeight="1">
      <c r="A15" s="50" t="n">
        <v>11</v>
      </c>
      <c r="B15" s="54" t="inlineStr">
        <is>
          <t>MEDIA</t>
        </is>
      </c>
      <c r="C15" s="52" t="inlineStr">
        <is>
          <t>Ecuador: catering $5.074 nunca programado</t>
        </is>
      </c>
      <c r="D15" s="50" t="inlineStr">
        <is>
          <t>El MASTER lo marca "Pendiente"; el cronograma no tiene ninguna fila para el catering de Quorum Quito. El evento ya ocurrió.</t>
        </is>
      </c>
      <c r="E15" s="53" t="n">
        <v>5074</v>
      </c>
      <c r="F15" s="50" t="inlineStr">
        <is>
          <t>Confirmar si se pagó. Si no, es una deuda vencida hace 5 semanas.</t>
        </is>
      </c>
    </row>
    <row r="16" ht="46" customHeight="1">
      <c r="A16" s="50" t="n">
        <v>12</v>
      </c>
      <c r="B16" s="54" t="inlineStr">
        <is>
          <t>MEDIA</t>
        </is>
      </c>
      <c r="C16" s="52" t="inlineStr">
        <is>
          <t>Guatemala: presupuesto 3x el contrato</t>
        </is>
      </c>
      <c r="D16" s="50" t="inlineStr">
        <is>
          <t>Contrato Parque de la Industria $5.000 ($1.500 abonado, saldo $3.500 en 2 cuotas). La hoja del evento presupuesta $14.351 de ítems del mismo venue.</t>
        </is>
      </c>
      <c r="E16" s="53" t="n">
        <v>9351</v>
      </c>
      <c r="F16" s="50" t="inlineStr">
        <is>
          <t>Pedir cotización firme a Michelle Taylor antes de fijar las cuotas de octubre y noviembre.</t>
        </is>
      </c>
    </row>
    <row r="17" ht="46" customHeight="1">
      <c r="A17" s="50" t="n">
        <v>13</v>
      </c>
      <c r="B17" s="54" t="inlineStr">
        <is>
          <t>MEDIA</t>
        </is>
      </c>
      <c r="C17" s="52" t="inlineStr">
        <is>
          <t>Tres eventos sin ninguna cuota cargada</t>
        </is>
      </c>
      <c r="D17" s="50" t="inlineStr">
        <is>
          <t>Colombia 2da (31/10), Perú (14/11) y España (28/11) figuran con "-" en el cronograma. Perú y España tienen $51.504 y $51.228 de presupuesto; Colombia 2da no tiene ni hoja.</t>
        </is>
      </c>
      <c r="E17" s="53" t="n">
        <v>102732</v>
      </c>
      <c r="F17" s="50" t="inlineStr">
        <is>
          <t>Cargar contratos y fechas de pago. Son los tres últimos eventos del año y hoy no tienen plan financiero.</t>
        </is>
      </c>
    </row>
    <row r="18" ht="46" customHeight="1">
      <c r="A18" s="50" t="n">
        <v>14</v>
      </c>
      <c r="B18" s="54" t="inlineStr">
        <is>
          <t>MEDIA</t>
        </is>
      </c>
      <c r="C18" s="52" t="inlineStr">
        <is>
          <t>Tipos de cambio incoherentes dentro de la misma hoja</t>
        </is>
      </c>
      <c r="D18" s="50" t="inlineStr">
        <is>
          <t>México usa 0,059 para presupuestar y 0,051 para pagos. Colombia usa 3.700 y 4.080. Chile y Uruguay tienen la celda de tasa en 0. Salvador, Guatemala y Perú apuntan al link de "peso mexicano a dólar" heredado por copiar la hoja.</t>
        </is>
      </c>
      <c r="E18" s="53" t="n"/>
      <c r="F18" s="50" t="inlineStr">
        <is>
          <t>Fijar una tasa por evento en la hoja EVENTOS y usarla en todas las columnas.</t>
        </is>
      </c>
    </row>
    <row r="19" ht="46" customHeight="1">
      <c r="A19" s="50" t="n">
        <v>15</v>
      </c>
      <c r="B19" s="55" t="inlineStr">
        <is>
          <t>BAJA</t>
        </is>
      </c>
      <c r="C19" s="52" t="inlineStr">
        <is>
          <t>El "Gral Resume" del MASTER está roto</t>
        </is>
      </c>
      <c r="D19" s="50" t="inlineStr">
        <is>
          <t>La columna PAGADO da #REF! en Guatemala y Perú, $0 en Panamá, Colombia, Argentina, Uruguay y España, y $3,48 en Chile.</t>
        </is>
      </c>
      <c r="E19" s="53" t="n"/>
      <c r="F19" s="50" t="inlineStr">
        <is>
          <t>Dejar de usarlo. La hoja TABLERO lo reemplaza.</t>
        </is>
      </c>
    </row>
    <row r="20" ht="46" customHeight="1">
      <c r="A20" s="50" t="n">
        <v>16</v>
      </c>
      <c r="B20" s="55" t="inlineStr">
        <is>
          <t>BAJA</t>
        </is>
      </c>
      <c r="C20" s="52" t="inlineStr">
        <is>
          <t>Etiquetas de cuota inconsistentes</t>
        </is>
      </c>
      <c r="D20" s="50" t="inlineStr">
        <is>
          <t>Colombia Gorras: una fila dice "Cuota 1 de 1 (100%)" por $1.000 y otra "Cuota 2 de 2 (50%)" por $1.000, cuando son las dos mitades del mismo saldo de $2.000.</t>
        </is>
      </c>
      <c r="E20" s="53" t="n"/>
      <c r="F20" s="50" t="inlineStr">
        <is>
          <t>Normalizar el texto de cuota. El agente lo va a generar automáticamente.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6" customWidth="1" min="4" max="4"/>
    <col width="14" customWidth="1" min="5" max="5"/>
    <col width="28" customWidth="1" min="6" max="6"/>
    <col width="34" customWidth="1" min="7" max="7"/>
    <col width="16" customWidth="1" min="8" max="8"/>
    <col width="9" customWidth="1" min="9" max="9"/>
    <col width="13" customWidth="1" min="10" max="10"/>
    <col width="10" customWidth="1" min="11" max="11"/>
    <col width="13" customWidth="1" min="12" max="12"/>
    <col width="30" customWidth="1" min="13" max="13"/>
    <col width="14" customWidth="1" min="14" max="14"/>
    <col width="20" customWidth="1" min="15" max="15"/>
  </cols>
  <sheetData>
    <row r="1" ht="34" customHeight="1">
      <c r="A1" s="1" t="inlineStr">
        <is>
          <t>Gastos del equipo en país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Hoja destino del agente de WhatsApp. Hoy estos gastos no existen en ninguno de los dos archivos originales.</t>
        </is>
      </c>
    </row>
    <row r="3">
      <c r="A3" s="3" t="inlineStr">
        <is>
          <t>Fila 5 = ejemplo con formato esperado (tomado de la factura 2601020 de Panamá). Borrala cuando el agente empiece a escribir.</t>
        </is>
      </c>
    </row>
    <row r="4" ht="30" customHeight="1">
      <c r="A4" s="8" t="inlineStr">
        <is>
          <t>ID</t>
        </is>
      </c>
      <c r="B4" s="8" t="inlineStr">
        <is>
          <t>Fecha</t>
        </is>
      </c>
      <c r="C4" s="8" t="inlineStr">
        <is>
          <t>País / evento</t>
        </is>
      </c>
      <c r="D4" s="8" t="inlineStr">
        <is>
          <t>Persona</t>
        </is>
      </c>
      <c r="E4" s="8" t="inlineStr">
        <is>
          <t>Rol</t>
        </is>
      </c>
      <c r="F4" s="8" t="inlineStr">
        <is>
          <t>Comercio / proveedor</t>
        </is>
      </c>
      <c r="G4" s="8" t="inlineStr">
        <is>
          <t>Concepto</t>
        </is>
      </c>
      <c r="H4" s="8" t="inlineStr">
        <is>
          <t>Categoría</t>
        </is>
      </c>
      <c r="I4" s="8" t="inlineStr">
        <is>
          <t>Moneda</t>
        </is>
      </c>
      <c r="J4" s="8" t="inlineStr">
        <is>
          <t>Monto local</t>
        </is>
      </c>
      <c r="K4" s="8" t="inlineStr">
        <is>
          <t>Tasa</t>
        </is>
      </c>
      <c r="L4" s="8" t="inlineStr">
        <is>
          <t>Monto USD</t>
        </is>
      </c>
      <c r="M4" s="8" t="inlineStr">
        <is>
          <t>Comprobante</t>
        </is>
      </c>
      <c r="N4" s="8" t="inlineStr">
        <is>
          <t>Estado</t>
        </is>
      </c>
      <c r="O4" s="8" t="inlineStr">
        <is>
          <t>N° factura reintegro</t>
        </is>
      </c>
    </row>
    <row r="5">
      <c r="A5" s="56" t="inlineStr">
        <is>
          <t>GE-2026-0001</t>
        </is>
      </c>
      <c r="B5" s="7" t="n">
        <v>46243</v>
      </c>
      <c r="C5" s="56" t="inlineStr">
        <is>
          <t>Panamá</t>
        </is>
      </c>
      <c r="D5" s="56" t="inlineStr">
        <is>
          <t>Carlos Andrés Calderón Arbeláez</t>
        </is>
      </c>
      <c r="E5" s="56" t="inlineStr">
        <is>
          <t>Staff</t>
        </is>
      </c>
      <c r="F5" s="56" t="inlineStr">
        <is>
          <t>Riba Smith</t>
        </is>
      </c>
      <c r="G5" s="56" t="inlineStr">
        <is>
          <t>Camerinos speakers / staff</t>
        </is>
      </c>
      <c r="H5" s="56" t="inlineStr">
        <is>
          <t>Camerinos</t>
        </is>
      </c>
      <c r="I5" s="56" t="inlineStr">
        <is>
          <t>USD</t>
        </is>
      </c>
      <c r="J5" s="57" t="n">
        <v>133.81</v>
      </c>
      <c r="K5" s="56" t="n">
        <v>1</v>
      </c>
      <c r="L5" s="58">
        <f>J5*K5</f>
        <v/>
      </c>
      <c r="M5" s="56" t="inlineStr">
        <is>
          <t>foto ticket WhatsApp</t>
        </is>
      </c>
      <c r="N5" s="56" t="inlineStr">
        <is>
          <t>Facturado</t>
        </is>
      </c>
      <c r="O5" s="56" t="inlineStr">
        <is>
          <t>2601020</t>
        </is>
      </c>
    </row>
    <row r="6">
      <c r="A6" s="59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11">
        <f>IF(J6="","",J6*K6)</f>
        <v/>
      </c>
      <c r="M6" s="59" t="n"/>
      <c r="N6" s="59" t="n"/>
      <c r="O6" s="59" t="n"/>
    </row>
    <row r="7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11">
        <f>IF(J7="","",J7*K7)</f>
        <v/>
      </c>
      <c r="M7" s="59" t="n"/>
      <c r="N7" s="59" t="n"/>
      <c r="O7" s="59" t="n"/>
    </row>
    <row r="8">
      <c r="A8" s="59" t="n"/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11">
        <f>IF(J8="","",J8*K8)</f>
        <v/>
      </c>
      <c r="M8" s="59" t="n"/>
      <c r="N8" s="59" t="n"/>
      <c r="O8" s="59" t="n"/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11">
        <f>IF(J9="","",J9*K9)</f>
        <v/>
      </c>
      <c r="M9" s="59" t="n"/>
      <c r="N9" s="59" t="n"/>
      <c r="O9" s="59" t="n"/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11">
        <f>IF(J10="","",J10*K10)</f>
        <v/>
      </c>
      <c r="M10" s="59" t="n"/>
      <c r="N10" s="59" t="n"/>
      <c r="O10" s="59" t="n"/>
    </row>
    <row r="11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11">
        <f>IF(J11="","",J11*K11)</f>
        <v/>
      </c>
      <c r="M11" s="59" t="n"/>
      <c r="N11" s="59" t="n"/>
      <c r="O11" s="59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11">
        <f>IF(J12="","",J12*K12)</f>
        <v/>
      </c>
      <c r="M12" s="59" t="n"/>
      <c r="N12" s="59" t="n"/>
      <c r="O12" s="59" t="n"/>
    </row>
    <row r="13">
      <c r="A13" s="59" t="n"/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11">
        <f>IF(J13="","",J13*K13)</f>
        <v/>
      </c>
      <c r="M13" s="59" t="n"/>
      <c r="N13" s="59" t="n"/>
      <c r="O13" s="59" t="n"/>
    </row>
    <row r="14">
      <c r="A14" s="59" t="n"/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11">
        <f>IF(J14="","",J14*K14)</f>
        <v/>
      </c>
      <c r="M14" s="59" t="n"/>
      <c r="N14" s="59" t="n"/>
      <c r="O14" s="59" t="n"/>
    </row>
    <row r="15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11">
        <f>IF(J15="","",J15*K15)</f>
        <v/>
      </c>
      <c r="M15" s="59" t="n"/>
      <c r="N15" s="59" t="n"/>
      <c r="O15" s="59" t="n"/>
    </row>
    <row r="16">
      <c r="A16" s="59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11">
        <f>IF(J16="","",J16*K16)</f>
        <v/>
      </c>
      <c r="M16" s="59" t="n"/>
      <c r="N16" s="59" t="n"/>
      <c r="O16" s="59" t="n"/>
    </row>
    <row r="17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11">
        <f>IF(J17="","",J17*K17)</f>
        <v/>
      </c>
      <c r="M17" s="59" t="n"/>
      <c r="N17" s="59" t="n"/>
      <c r="O17" s="59" t="n"/>
    </row>
    <row r="18">
      <c r="A18" s="59" t="n"/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11">
        <f>IF(J18="","",J18*K18)</f>
        <v/>
      </c>
      <c r="M18" s="59" t="n"/>
      <c r="N18" s="59" t="n"/>
      <c r="O18" s="59" t="n"/>
    </row>
    <row r="19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11">
        <f>IF(J19="","",J19*K19)</f>
        <v/>
      </c>
      <c r="M19" s="59" t="n"/>
      <c r="N19" s="59" t="n"/>
      <c r="O19" s="59" t="n"/>
    </row>
    <row r="2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11">
        <f>IF(J20="","",J20*K20)</f>
        <v/>
      </c>
      <c r="M20" s="59" t="n"/>
      <c r="N20" s="59" t="n"/>
      <c r="O20" s="59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11">
        <f>IF(J21="","",J21*K21)</f>
        <v/>
      </c>
      <c r="M21" s="59" t="n"/>
      <c r="N21" s="59" t="n"/>
      <c r="O21" s="59" t="n"/>
    </row>
    <row r="22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11">
        <f>IF(J22="","",J22*K22)</f>
        <v/>
      </c>
      <c r="M22" s="59" t="n"/>
      <c r="N22" s="59" t="n"/>
      <c r="O22" s="59" t="n"/>
    </row>
    <row r="23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11">
        <f>IF(J23="","",J23*K23)</f>
        <v/>
      </c>
      <c r="M23" s="59" t="n"/>
      <c r="N23" s="59" t="n"/>
      <c r="O23" s="59" t="n"/>
    </row>
    <row r="24">
      <c r="A24" s="59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11">
        <f>IF(J24="","",J24*K24)</f>
        <v/>
      </c>
      <c r="M24" s="59" t="n"/>
      <c r="N24" s="59" t="n"/>
      <c r="O24" s="59" t="n"/>
    </row>
    <row r="25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11">
        <f>IF(J25="","",J25*K25)</f>
        <v/>
      </c>
      <c r="M25" s="59" t="n"/>
      <c r="N25" s="59" t="n"/>
      <c r="O25" s="59" t="n"/>
    </row>
    <row r="26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11">
        <f>IF(J26="","",J26*K26)</f>
        <v/>
      </c>
      <c r="M26" s="59" t="n"/>
      <c r="N26" s="59" t="n"/>
      <c r="O26" s="5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11">
        <f>IF(J27="","",J27*K27)</f>
        <v/>
      </c>
      <c r="M27" s="59" t="n"/>
      <c r="N27" s="59" t="n"/>
      <c r="O27" s="59" t="n"/>
    </row>
    <row r="2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11">
        <f>IF(J28="","",J28*K28)</f>
        <v/>
      </c>
      <c r="M28" s="59" t="n"/>
      <c r="N28" s="59" t="n"/>
      <c r="O28" s="59" t="n"/>
    </row>
    <row r="29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11">
        <f>IF(J29="","",J29*K29)</f>
        <v/>
      </c>
      <c r="M29" s="59" t="n"/>
      <c r="N29" s="59" t="n"/>
      <c r="O29" s="59" t="n"/>
    </row>
    <row r="30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11">
        <f>IF(J30="","",J30*K30)</f>
        <v/>
      </c>
      <c r="M30" s="59" t="n"/>
      <c r="N30" s="59" t="n"/>
      <c r="O30" s="59" t="n"/>
    </row>
    <row r="31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11">
        <f>IF(J31="","",J31*K31)</f>
        <v/>
      </c>
      <c r="M31" s="59" t="n"/>
      <c r="N31" s="59" t="n"/>
      <c r="O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11">
        <f>IF(J32="","",J32*K32)</f>
        <v/>
      </c>
      <c r="M32" s="59" t="n"/>
      <c r="N32" s="59" t="n"/>
      <c r="O32" s="59" t="n"/>
    </row>
    <row r="33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11">
        <f>IF(J33="","",J33*K33)</f>
        <v/>
      </c>
      <c r="M33" s="59" t="n"/>
      <c r="N33" s="59" t="n"/>
      <c r="O33" s="59" t="n"/>
    </row>
    <row r="34">
      <c r="A34" s="59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11">
        <f>IF(J34="","",J34*K34)</f>
        <v/>
      </c>
      <c r="M34" s="59" t="n"/>
      <c r="N34" s="59" t="n"/>
      <c r="O34" s="59" t="n"/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11">
        <f>IF(J35="","",J35*K35)</f>
        <v/>
      </c>
      <c r="M35" s="59" t="n"/>
      <c r="N35" s="59" t="n"/>
      <c r="O35" s="59" t="n"/>
    </row>
    <row r="36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11">
        <f>IF(J36="","",J36*K36)</f>
        <v/>
      </c>
      <c r="M36" s="59" t="n"/>
      <c r="N36" s="59" t="n"/>
      <c r="O36" s="59" t="n"/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11">
        <f>IF(J37="","",J37*K37)</f>
        <v/>
      </c>
      <c r="M37" s="59" t="n"/>
      <c r="N37" s="59" t="n"/>
      <c r="O37" s="59" t="n"/>
    </row>
    <row r="38">
      <c r="A38" s="59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11">
        <f>IF(J38="","",J38*K38)</f>
        <v/>
      </c>
      <c r="M38" s="59" t="n"/>
      <c r="N38" s="59" t="n"/>
      <c r="O38" s="59" t="n"/>
    </row>
    <row r="39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11">
        <f>IF(J39="","",J39*K39)</f>
        <v/>
      </c>
      <c r="M39" s="59" t="n"/>
      <c r="N39" s="59" t="n"/>
      <c r="O39" s="59" t="n"/>
    </row>
    <row r="40">
      <c r="A40" s="59" t="n"/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11">
        <f>IF(J40="","",J40*K40)</f>
        <v/>
      </c>
      <c r="M40" s="59" t="n"/>
      <c r="N40" s="59" t="n"/>
      <c r="O40" s="59" t="n"/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11">
        <f>IF(J41="","",J41*K41)</f>
        <v/>
      </c>
      <c r="M41" s="59" t="n"/>
      <c r="N41" s="59" t="n"/>
      <c r="O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11">
        <f>IF(J42="","",J42*K42)</f>
        <v/>
      </c>
      <c r="M42" s="59" t="n"/>
      <c r="N42" s="59" t="n"/>
      <c r="O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11">
        <f>IF(J43="","",J43*K43)</f>
        <v/>
      </c>
      <c r="M43" s="59" t="n"/>
      <c r="N43" s="59" t="n"/>
      <c r="O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11">
        <f>IF(J44="","",J44*K44)</f>
        <v/>
      </c>
      <c r="M44" s="59" t="n"/>
      <c r="N44" s="59" t="n"/>
      <c r="O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11">
        <f>IF(J45="","",J45*K45)</f>
        <v/>
      </c>
      <c r="M45" s="59" t="n"/>
      <c r="N45" s="59" t="n"/>
      <c r="O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11">
        <f>IF(J46="","",J46*K46)</f>
        <v/>
      </c>
      <c r="M46" s="59" t="n"/>
      <c r="N46" s="59" t="n"/>
      <c r="O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11">
        <f>IF(J47="","",J47*K47)</f>
        <v/>
      </c>
      <c r="M47" s="59" t="n"/>
      <c r="N47" s="59" t="n"/>
      <c r="O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11">
        <f>IF(J48="","",J48*K48)</f>
        <v/>
      </c>
      <c r="M48" s="59" t="n"/>
      <c r="N48" s="59" t="n"/>
      <c r="O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11">
        <f>IF(J49="","",J49*K49)</f>
        <v/>
      </c>
      <c r="M49" s="59" t="n"/>
      <c r="N49" s="59" t="n"/>
      <c r="O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11">
        <f>IF(J50="","",J50*K50)</f>
        <v/>
      </c>
      <c r="M50" s="59" t="n"/>
      <c r="N50" s="59" t="n"/>
      <c r="O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11">
        <f>IF(J51="","",J51*K51)</f>
        <v/>
      </c>
      <c r="M51" s="59" t="n"/>
      <c r="N51" s="59" t="n"/>
      <c r="O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11">
        <f>IF(J52="","",J52*K52)</f>
        <v/>
      </c>
      <c r="M52" s="59" t="n"/>
      <c r="N52" s="59" t="n"/>
      <c r="O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11">
        <f>IF(J53="","",J53*K53)</f>
        <v/>
      </c>
      <c r="M53" s="59" t="n"/>
      <c r="N53" s="59" t="n"/>
      <c r="O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11">
        <f>IF(J54="","",J54*K54)</f>
        <v/>
      </c>
      <c r="M54" s="59" t="n"/>
      <c r="N54" s="59" t="n"/>
      <c r="O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11">
        <f>IF(J55="","",J55*K55)</f>
        <v/>
      </c>
      <c r="M55" s="59" t="n"/>
      <c r="N55" s="59" t="n"/>
      <c r="O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11">
        <f>IF(J56="","",J56*K56)</f>
        <v/>
      </c>
      <c r="M56" s="59" t="n"/>
      <c r="N56" s="59" t="n"/>
      <c r="O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11">
        <f>IF(J57="","",J57*K57)</f>
        <v/>
      </c>
      <c r="M57" s="59" t="n"/>
      <c r="N57" s="59" t="n"/>
      <c r="O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11">
        <f>IF(J58="","",J58*K58)</f>
        <v/>
      </c>
      <c r="M58" s="59" t="n"/>
      <c r="N58" s="59" t="n"/>
      <c r="O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11">
        <f>IF(J59="","",J59*K59)</f>
        <v/>
      </c>
      <c r="M59" s="59" t="n"/>
      <c r="N59" s="59" t="n"/>
      <c r="O59" s="59" t="n"/>
    </row>
  </sheetData>
  <mergeCells count="1">
    <mergeCell ref="A1:O1"/>
  </mergeCells>
  <dataValidations count="2">
    <dataValidation sqref="H5:H500" showDropDown="0" showInputMessage="0" showErrorMessage="0" allowBlank="1" type="list">
      <formula1>"Camerinos,Catering,Transporte,Hospedaje,Insumos,Impresiones,Otros"</formula1>
    </dataValidation>
    <dataValidation sqref="N5:N500" showDropDown="0" showInputMessage="0" showErrorMessage="0" allowBlank="1" type="list">
      <formula1>"Cargado,Aprobado,Facturado,Reintegrado"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2026-09-03T13:34:08Z</dcterms:created>
  <dcterms:modified xsi:type="dcterms:W3CDTF">2026-09-03T13:34:09Z</dcterms:modified>
</cp:coreProperties>
</file>