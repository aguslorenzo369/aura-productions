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ciones" sheetId="1" state="visible" r:id="rId1"/>
    <sheet name="Matriz de decisión" sheetId="2" state="visible" r:id="rId2"/>
    <sheet name="Checklist de llamada" sheetId="3" state="visible" r:id="rId3"/>
    <sheet name="Plan 7 días" sheetId="4" state="visible" r:id="rId4"/>
  </sheets>
  <definedNames>
    <definedName name="_xlnm._FilterDatabase" localSheetId="0" hidden="1">'Locaciones'!$A$5:$V$16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FFC9A84C"/>
      <sz val="14"/>
    </font>
    <font>
      <name val="Arial"/>
      <color rgb="FF6B5F66"/>
      <sz val="9"/>
    </font>
    <font>
      <name val="Arial"/>
      <i val="1"/>
      <color rgb="FF8A6E22"/>
      <sz val="9"/>
    </font>
    <font>
      <name val="Arial"/>
      <b val="1"/>
      <color rgb="FFC9A84C"/>
      <sz val="9"/>
    </font>
    <font>
      <name val="Arial"/>
      <color rgb="FF1A1218"/>
      <sz val="9"/>
    </font>
    <font>
      <name val="Arial"/>
      <b val="1"/>
      <color rgb="FF8A6E22"/>
      <sz val="9"/>
    </font>
    <font>
      <name val="Arial"/>
      <b val="1"/>
      <color rgb="FF1A1218"/>
      <sz val="9"/>
    </font>
    <font>
      <name val="Arial"/>
      <color rgb="FF0000FF"/>
      <sz val="9"/>
    </font>
    <font>
      <name val="Arial"/>
      <b val="1"/>
      <color rgb="FF1A1218"/>
      <sz val="10"/>
    </font>
    <font>
      <name val="Arial"/>
      <b val="1"/>
      <color rgb="FFC9A84C"/>
      <sz val="10"/>
    </font>
    <font>
      <name val="Arial"/>
      <i val="1"/>
      <color rgb="FF6B5F66"/>
      <sz val="9"/>
    </font>
    <font>
      <name val="Arial"/>
      <color rgb="FF8A6E22"/>
      <sz val="9"/>
    </font>
    <font>
      <name val="Arial"/>
      <b val="1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DF2CE"/>
      </patternFill>
    </fill>
    <fill>
      <patternFill patternType="solid">
        <fgColor rgb="FFF7F4F5"/>
      </patternFill>
    </fill>
  </fills>
  <borders count="2">
    <border>
      <left/>
      <right/>
      <top/>
      <bottom/>
      <diagonal/>
    </border>
    <border>
      <left style="thin">
        <color rgb="FFD8D0D3"/>
      </left>
      <right style="thin">
        <color rgb="FFD8D0D3"/>
      </right>
      <top style="thin">
        <color rgb="FFD8D0D3"/>
      </top>
      <bottom style="thin">
        <color rgb="FFD8D0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1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 indent="1"/>
    </xf>
    <xf numFmtId="164" fontId="5" fillId="3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1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center" wrapText="1" indent="1"/>
    </xf>
    <xf numFmtId="9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9" fontId="10" fillId="2" borderId="1" applyAlignment="1" pivotButton="0" quotePrefix="0" xfId="0">
      <alignment horizontal="center" vertical="center"/>
    </xf>
    <xf numFmtId="2" fontId="10" fillId="2" borderId="1" applyAlignment="1" pivotButton="0" quotePrefix="0" xfId="0">
      <alignment horizontal="center" vertical="center"/>
    </xf>
    <xf numFmtId="2" fontId="10" fillId="2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vertical="center" wrapText="1" indent="1"/>
    </xf>
    <xf numFmtId="0" fontId="12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164" fontId="13" fillId="3" borderId="1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 vertical="top" wrapText="1" indent="1"/>
    </xf>
    <xf numFmtId="164" fontId="5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3" customWidth="1" min="3" max="3"/>
    <col width="20" customWidth="1" min="4" max="4"/>
    <col width="22" customWidth="1" min="5" max="5"/>
    <col width="9" customWidth="1" min="6" max="6"/>
    <col width="34" customWidth="1" min="7" max="7"/>
    <col width="19" customWidth="1" min="8" max="8"/>
    <col width="20" customWidth="1" min="9" max="9"/>
    <col width="24" customWidth="1" min="10" max="10"/>
    <col width="22" customWidth="1" min="11" max="11"/>
    <col width="26" customWidth="1" min="12" max="12"/>
    <col width="20" customWidth="1" min="13" max="13"/>
    <col width="17" customWidth="1" min="14" max="14"/>
    <col width="32" customWidth="1" min="15" max="15"/>
    <col width="44" customWidth="1" min="16" max="16"/>
    <col width="36" customWidth="1" min="17" max="17"/>
    <col width="15" customWidth="1" min="18" max="18"/>
    <col width="13" customWidth="1" min="19" max="19"/>
    <col width="13" customWidth="1" min="20" max="20"/>
    <col width="26" customWidth="1" min="21" max="21"/>
    <col width="28" customWidth="1" min="22" max="22"/>
  </cols>
  <sheetData>
    <row r="1" ht="30" customHeight="1">
      <c r="A1" s="1" t="inlineStr">
        <is>
          <t>CÍRCULO MAV · MEDELLÍN — Directorio de locaciones</t>
        </is>
      </c>
    </row>
    <row r="2" ht="18" customHeight="1">
      <c r="A2" s="2" t="inlineStr">
        <is>
          <t>120 invitadas · jueves 15 de octubre de 2026 · 16:00 a 20:00 · Aura Productions · datos verificados el 03/09/2026</t>
        </is>
      </c>
    </row>
    <row r="3" ht="17" customHeight="1">
      <c r="A3" s="3" t="inlineStr">
        <is>
          <t>Celdas con fondo crema (Estado · Fecha de contacto · Responsable · Próximo paso) las completa el equipo. Ejemplo: Cotizado | 05/09/2026 | Agus | Pedir hold sin cargo por 48 h.</t>
        </is>
      </c>
    </row>
    <row r="5" ht="32" customHeight="1">
      <c r="A5" s="4" t="inlineStr">
        <is>
          <t>#</t>
        </is>
      </c>
      <c r="B5" s="4" t="inlineStr">
        <is>
          <t>Locación</t>
        </is>
      </c>
      <c r="C5" s="4" t="inlineStr">
        <is>
          <t>Rol en el shortlist</t>
        </is>
      </c>
      <c r="D5" s="4" t="inlineStr">
        <is>
          <t>Zona</t>
        </is>
      </c>
      <c r="E5" s="4" t="inlineStr">
        <is>
          <t>Dirección</t>
        </is>
      </c>
      <c r="F5" s="4" t="inlineStr">
        <is>
          <t>Min. desde
Provenza</t>
        </is>
      </c>
      <c r="G5" s="4" t="inlineStr">
        <is>
          <t>Capacidad declarada</t>
        </is>
      </c>
      <c r="H5" s="4" t="inlineStr">
        <is>
          <t>¿120 sentadas?</t>
        </is>
      </c>
      <c r="I5" s="4" t="inlineStr">
        <is>
          <t>Cubierto ante lluvia</t>
        </is>
      </c>
      <c r="J5" s="4" t="inlineStr">
        <is>
          <t>Teléfono</t>
        </is>
      </c>
      <c r="K5" s="4" t="inlineStr">
        <is>
          <t>WhatsApp</t>
        </is>
      </c>
      <c r="L5" s="4" t="inlineStr">
        <is>
          <t>Email</t>
        </is>
      </c>
      <c r="M5" s="4" t="inlineStr">
        <is>
          <t>Página web</t>
        </is>
      </c>
      <c r="N5" s="4" t="inlineStr">
        <is>
          <t>Catering</t>
        </is>
      </c>
      <c r="O5" s="4" t="inlineStr">
        <is>
          <t>Dato económico conocido</t>
        </is>
      </c>
      <c r="P5" s="4" t="inlineStr">
        <is>
          <t>Fortaleza</t>
        </is>
      </c>
      <c r="Q5" s="4" t="inlineStr">
        <is>
          <t>Riesgo / condición</t>
        </is>
      </c>
      <c r="R5" s="4" t="inlineStr">
        <is>
          <t>Estado</t>
        </is>
      </c>
      <c r="S5" s="4" t="inlineStr">
        <is>
          <t>Fecha de contacto</t>
        </is>
      </c>
      <c r="T5" s="4" t="inlineStr">
        <is>
          <t>Responsable</t>
        </is>
      </c>
      <c r="U5" s="4" t="inlineStr">
        <is>
          <t>Próximo paso</t>
        </is>
      </c>
      <c r="V5" s="4" t="inlineStr">
        <is>
          <t>Fuente verificada</t>
        </is>
      </c>
    </row>
    <row r="6" ht="74" customHeight="1">
      <c r="A6" s="5" t="n">
        <v>1</v>
      </c>
      <c r="B6" s="6" t="inlineStr">
        <is>
          <t>Museo El Castillo</t>
        </is>
      </c>
      <c r="C6" s="7" t="inlineStr">
        <is>
          <t>Finalista I — belleza patrimonial</t>
        </is>
      </c>
      <c r="D6" s="7" t="inlineStr">
        <is>
          <t>Loma de los Balsos, El Poblado</t>
        </is>
      </c>
      <c r="E6" s="7" t="inlineStr">
        <is>
          <t>Calle 9 Sur # 32-269</t>
        </is>
      </c>
      <c r="F6" s="8" t="n">
        <v>12</v>
      </c>
      <c r="G6" s="7" t="inlineStr">
        <is>
          <t>Terraza de los Faroles: 150 cóctel. Gazebo: 250 banquete / 500 cóctel. Terraza de las Luces: 200-300. Terraza del Encuentro y Casita del Bosque: 30 c/u</t>
        </is>
      </c>
      <c r="H6" s="7" t="inlineStr">
        <is>
          <t>Sí, con carpa transparente sobre terraza</t>
        </is>
      </c>
      <c r="I6" s="7" t="inlineStr">
        <is>
          <t>Parcial — jardines descubiertos + salones interiores</t>
        </is>
      </c>
      <c r="J6" s="7" t="inlineStr">
        <is>
          <t>+57 604 266 0900 ext. 112 (sociales) · ext. 104 (empresariales)</t>
        </is>
      </c>
      <c r="K6" s="7" t="inlineStr">
        <is>
          <t>—</t>
        </is>
      </c>
      <c r="L6" s="7" t="inlineStr">
        <is>
          <t>servicios@museoelcastillo.org · proyectos@museoelcastillo.org</t>
        </is>
      </c>
      <c r="M6" s="7" t="inlineStr">
        <is>
          <t>museoelcastillo.org</t>
        </is>
      </c>
      <c r="N6" s="7" t="inlineStr">
        <is>
          <t>Propio, incluido en el alquiler</t>
        </is>
      </c>
      <c r="O6" s="7" t="inlineStr">
        <is>
          <t>Tarifa a solicitar. Fundación sin ánimo de lucro: el alquiler financia el museo</t>
        </is>
      </c>
      <c r="P6" s="7" t="inlineStr">
        <is>
          <t>Castillo gótico de 1930 con la mayor colección de artes decorativas de Medellín; jardines franceses y jardín japonés. Cierra al público por la tarde: exclusividad real desde las 17:00</t>
        </is>
      </c>
      <c r="Q6" s="7" t="inlineStr">
        <is>
          <t>Patrimonio: límites de sonido e intervención, catering propio obligatorio y carpa necesaria para 120 sentadas</t>
        </is>
      </c>
      <c r="R6" s="9" t="inlineStr">
        <is>
          <t>Pendiente</t>
        </is>
      </c>
      <c r="S6" s="10" t="n"/>
      <c r="T6" s="9" t="n"/>
      <c r="U6" s="9" t="n"/>
      <c r="V6" s="7" t="inlineStr">
        <is>
          <t>museoelcastillo.org/alquilerdeespacios</t>
        </is>
      </c>
    </row>
    <row r="7" ht="74" customHeight="1">
      <c r="A7" s="11" t="n">
        <v>2</v>
      </c>
      <c r="B7" s="12" t="inlineStr">
        <is>
          <t>Palau Eventos</t>
        </is>
      </c>
      <c r="C7" s="13" t="inlineStr">
        <is>
          <t>Finalista II — belleza a prueba de lluvia</t>
        </is>
      </c>
      <c r="D7" s="13" t="inlineStr">
        <is>
          <t>Loma del Escobero, Envigado</t>
        </is>
      </c>
      <c r="E7" s="13" t="inlineStr">
        <is>
          <t>Carrera 19 # 36C Sur-259</t>
        </is>
      </c>
      <c r="F7" s="14" t="n">
        <v>15</v>
      </c>
      <c r="G7" s="13" t="inlineStr">
        <is>
          <t>180 invitados</t>
        </is>
      </c>
      <c r="H7" s="13" t="inlineStr">
        <is>
          <t>Sí, cómodas con tarima y pantalla</t>
        </is>
      </c>
      <c r="I7" s="13" t="inlineStr">
        <is>
          <t>Sí, total — caja de vidrio cerrada</t>
        </is>
      </c>
      <c r="J7" s="13" t="inlineStr">
        <is>
          <t>+57 320 617 3463 · +57 314 416 9656</t>
        </is>
      </c>
      <c r="K7" s="13" t="inlineStr">
        <is>
          <t>+57 324 271 6944 (Wink Eventos, comercializa el venue)</t>
        </is>
      </c>
      <c r="L7" s="13" t="inlineStr">
        <is>
          <t>Vía formulario de Wink Eventos</t>
        </is>
      </c>
      <c r="M7" s="13" t="inlineStr">
        <is>
          <t>winkeventos.com</t>
        </is>
      </c>
      <c r="N7" s="13" t="inlineStr">
        <is>
          <t>A confirmar</t>
        </is>
      </c>
      <c r="O7" s="13" t="inlineStr">
        <is>
          <t>Tarifa a solicitar</t>
        </is>
      </c>
      <c r="P7" s="13" t="inlineStr">
        <is>
          <t>Caja de vidrio sobre deck de madera con ventanales de piso a techo que se abren por completo y vista 360° del valle. Plan A y plan B son el mismo montaje</t>
        </is>
      </c>
      <c r="Q7" s="13" t="inlineStr">
        <is>
          <t>Acústica de caja de vidrio: exige tratamiento y diseño de iluminación fuerte. Menos carga simbólica que un castillo</t>
        </is>
      </c>
      <c r="R7" s="9" t="inlineStr">
        <is>
          <t>Pendiente</t>
        </is>
      </c>
      <c r="S7" s="10" t="n"/>
      <c r="T7" s="9" t="n"/>
      <c r="U7" s="9" t="n"/>
      <c r="V7" s="13" t="inlineStr">
        <is>
          <t>winkeventos.com — centro de eventos Palau</t>
        </is>
      </c>
    </row>
    <row r="8" ht="74" customHeight="1">
      <c r="A8" s="5" t="n">
        <v>3</v>
      </c>
      <c r="B8" s="6" t="inlineStr">
        <is>
          <t>MAMM · Piso 5</t>
        </is>
      </c>
      <c r="C8" s="7" t="inlineStr">
        <is>
          <t>Finalista III — belleza contemporánea</t>
        </is>
      </c>
      <c r="D8" s="7" t="inlineStr">
        <is>
          <t>Ciudad del Río</t>
        </is>
      </c>
      <c r="E8" s="7" t="inlineStr">
        <is>
          <t>Carrera 44 # 19A-100</t>
        </is>
      </c>
      <c r="F8" s="8" t="n">
        <v>10</v>
      </c>
      <c r="G8" s="7" t="inlineStr">
        <is>
          <t>Hasta 200. Salón 196,32 m² (200 m² cubiertos) + terraza privada 90 m². Doble altura 5,00 m. Bodega 12 m². Teatro anexo: 256 butacas</t>
        </is>
      </c>
      <c r="H8" s="7" t="inlineStr">
        <is>
          <t>Sí</t>
        </is>
      </c>
      <c r="I8" s="7" t="inlineStr">
        <is>
          <t>Sí — 200 m² cubiertos con terraza contigua</t>
        </is>
      </c>
      <c r="J8" s="7" t="inlineStr">
        <is>
          <t>+57 604 444 2622</t>
        </is>
      </c>
      <c r="K8" s="7" t="inlineStr">
        <is>
          <t>—</t>
        </is>
      </c>
      <c r="L8" s="7" t="inlineStr">
        <is>
          <t>Vía formulario en elmamm.org/alquiler-de-espacios</t>
        </is>
      </c>
      <c r="M8" s="7" t="inlineStr">
        <is>
          <t>elmamm.org</t>
        </is>
      </c>
      <c r="N8" s="7" t="inlineStr">
        <is>
          <t>A confirmar</t>
        </is>
      </c>
      <c r="O8" s="7" t="inlineStr">
        <is>
          <t>Tarifa a solicitar. Atención L 11-17, Ma-V 11-19, S-D 11-18</t>
        </is>
      </c>
      <c r="P8" s="7" t="inlineStr">
        <is>
          <t>Museo de Arte Moderno: hormigón, doble altura y escala de galería, con terraza privada abierta al skyline para la hora dorada</t>
        </is>
      </c>
      <c r="Q8" s="7" t="inlineStr">
        <is>
          <t>Es el más urbano y el menos 'secreto': hay que trabajar ingreso privado y señalética para que se lea círculo cerrado</t>
        </is>
      </c>
      <c r="R8" s="9" t="inlineStr">
        <is>
          <t>Pendiente</t>
        </is>
      </c>
      <c r="S8" s="10" t="n"/>
      <c r="T8" s="9" t="n"/>
      <c r="U8" s="9" t="n"/>
      <c r="V8" s="7" t="inlineStr">
        <is>
          <t>elmamm.org/alquiler-de-espacios/salon-de-eventos</t>
        </is>
      </c>
    </row>
    <row r="9" ht="74" customHeight="1">
      <c r="A9" s="11" t="n">
        <v>4</v>
      </c>
      <c r="B9" s="12" t="inlineStr">
        <is>
          <t>Hacienda Fizebad</t>
        </is>
      </c>
      <c r="C9" s="13" t="inlineStr">
        <is>
          <t>Segunda línea — destino</t>
        </is>
      </c>
      <c r="D9" s="13" t="inlineStr">
        <is>
          <t>El Retiro, Antioquia</t>
        </is>
      </c>
      <c r="E9" s="13" t="inlineStr">
        <is>
          <t>Vía El Retiro (Oriente antioqueño)</t>
        </is>
      </c>
      <c r="F9" s="14" t="n">
        <v>50</v>
      </c>
      <c r="G9" s="13" t="inlineStr">
        <is>
          <t>220 invitados. Varios salones, hasta 4 reuniones simultáneas</t>
        </is>
      </c>
      <c r="H9" s="13" t="inlineStr">
        <is>
          <t>Sí</t>
        </is>
      </c>
      <c r="I9" s="13" t="inlineStr">
        <is>
          <t>Sí</t>
        </is>
      </c>
      <c r="J9" s="13" t="inlineStr">
        <is>
          <t>+57 321 640 8501</t>
        </is>
      </c>
      <c r="K9" s="13" t="inlineStr">
        <is>
          <t>+57 321 640 8501</t>
        </is>
      </c>
      <c r="L9" s="13" t="inlineStr">
        <is>
          <t>eventos@haciendafizebad.com</t>
        </is>
      </c>
      <c r="M9" s="13" t="inlineStr">
        <is>
          <t>haciendafizebad.com</t>
        </is>
      </c>
      <c r="N9" s="13" t="inlineStr">
        <is>
          <t>Propio</t>
        </is>
      </c>
      <c r="O9" s="13" t="inlineStr">
        <is>
          <t>Tarifa a solicitar. Sumar costo de vans ida y vuelta</t>
        </is>
      </c>
      <c r="P9" s="13" t="inlineStr">
        <is>
          <t>Hacienda histórica de 1825 con réplica de pueblito paisa: calles empedradas, iglesia, botica, biblioteca y plaza. Golf, caballerizas y alojamiento</t>
        </is>
      </c>
      <c r="Q9" s="13" t="inlineStr">
        <is>
          <t>50 minutos por trayecto sobre un evento de 4 horas, en temporada de lluvia y con retorno de noche</t>
        </is>
      </c>
      <c r="R9" s="9" t="inlineStr">
        <is>
          <t>Pendiente</t>
        </is>
      </c>
      <c r="S9" s="10" t="n"/>
      <c r="T9" s="9" t="n"/>
      <c r="U9" s="9" t="n"/>
      <c r="V9" s="13" t="inlineStr">
        <is>
          <t>matrimoniosmedellin.com · tusanagustin.com</t>
        </is>
      </c>
    </row>
    <row r="10" ht="74" customHeight="1">
      <c r="A10" s="5" t="n">
        <v>5</v>
      </c>
      <c r="B10" s="6" t="inlineStr">
        <is>
          <t>Envy Rooftop · The Charlee</t>
        </is>
      </c>
      <c r="C10" s="7" t="inlineStr">
        <is>
          <t>Segunda línea — rooftop glam</t>
        </is>
      </c>
      <c r="D10" s="7" t="inlineStr">
        <is>
          <t>Provenza, El Poblado</t>
        </is>
      </c>
      <c r="E10" s="7" t="inlineStr">
        <is>
          <t>Calle 9A # 37-16</t>
        </is>
      </c>
      <c r="F10" s="8" t="n">
        <v>3</v>
      </c>
      <c r="G10" s="7" t="inlineStr">
        <is>
          <t>250 a 350 personas en dos niveles (pisos 17 y 18)</t>
        </is>
      </c>
      <c r="H10" s="7" t="inlineStr">
        <is>
          <t>No recomendado: 120 se diluyen en el espacio</t>
        </is>
      </c>
      <c r="I10" s="7" t="inlineStr">
        <is>
          <t>No — descubierto</t>
        </is>
      </c>
      <c r="J10" s="7" t="inlineStr">
        <is>
          <t>+57 604 444 4968 ext. 121</t>
        </is>
      </c>
      <c r="K10" s="7" t="inlineStr">
        <is>
          <t>—</t>
        </is>
      </c>
      <c r="L10" s="7" t="inlineStr">
        <is>
          <t>Vía formulario en envyrooftop.com</t>
        </is>
      </c>
      <c r="M10" s="7" t="inlineStr">
        <is>
          <t>envyrooftop.com · thecharlee.com</t>
        </is>
      </c>
      <c r="N10" s="7" t="inlineStr">
        <is>
          <t>Propio</t>
        </is>
      </c>
      <c r="O10" s="7" t="inlineStr">
        <is>
          <t>Buyout privado disponible a solicitud. Seguridad privada y fotógrafo se suman aparte</t>
        </is>
      </c>
      <c r="P10" s="7" t="inlineStr">
        <is>
          <t>Piscina tipo acuario y vista de 180° sobre El Poblado. El venue más reconocible de la ciudad</t>
        </is>
      </c>
      <c r="Q10" s="7" t="inlineStr">
        <is>
          <t>Descubierto en el mes más lluvioso del año y sobredimensionado para 120. Sirve como after, no como evento principal</t>
        </is>
      </c>
      <c r="R10" s="9" t="inlineStr">
        <is>
          <t>Pendiente</t>
        </is>
      </c>
      <c r="S10" s="10" t="n"/>
      <c r="T10" s="9" t="n"/>
      <c r="U10" s="9" t="n"/>
      <c r="V10" s="7" t="inlineStr">
        <is>
          <t>envyrooftop.com · thecharlee.com</t>
        </is>
      </c>
    </row>
    <row r="11" ht="74" customHeight="1">
      <c r="A11" s="11" t="n">
        <v>6</v>
      </c>
      <c r="B11" s="12" t="inlineStr">
        <is>
          <t>Hotel El Zarzo · Rooftop</t>
        </is>
      </c>
      <c r="C11" s="13" t="inlineStr">
        <is>
          <t>Segunda línea — boutique</t>
        </is>
      </c>
      <c r="D11" s="13" t="inlineStr">
        <is>
          <t>Provenza, El Poblado</t>
        </is>
      </c>
      <c r="E11" s="13" t="inlineStr">
        <is>
          <t>Carrera 38 # 10A-29</t>
        </is>
      </c>
      <c r="F11" s="14" t="n">
        <v>2</v>
      </c>
      <c r="G11" s="13" t="inlineStr">
        <is>
          <t>Rooftop de 180 m²: 60 sentadas · 73 con barra y lounge · 120 de pie</t>
        </is>
      </c>
      <c r="H11" s="13" t="inlineStr">
        <is>
          <t>No — solo 60 sentadas</t>
        </is>
      </c>
      <c r="I11" s="13" t="inlineStr">
        <is>
          <t>No — rooftop descubierto</t>
        </is>
      </c>
      <c r="J11" s="13" t="inlineStr">
        <is>
          <t>+57 311 688 7955</t>
        </is>
      </c>
      <c r="K11" s="13" t="inlineStr">
        <is>
          <t>+57 311 688 7955</t>
        </is>
      </c>
      <c r="L11" s="13" t="inlineStr">
        <is>
          <t>gerencia@hotelelzarzo.com</t>
        </is>
      </c>
      <c r="M11" s="13" t="inlineStr">
        <is>
          <t>hotelelzarzo.com</t>
        </is>
      </c>
      <c r="N11" s="13" t="inlineStr">
        <is>
          <t>Propio</t>
        </is>
      </c>
      <c r="O11" s="13" t="inlineStr">
        <is>
          <t>Exclusividad jue a sáb: $10.000.000 COP con $5.000.000 de crédito en A&amp;B. Lun a mié: $5.000.000 con $2.500.000 de crédito. Cierre máximo 1:30</t>
        </is>
      </c>
      <c r="P11" s="13" t="inlineStr">
        <is>
          <t>Boutique, íntimo, mixología de autor y mobiliario reconfigurable. Referencia de precio de exclusividad en Provenza</t>
        </is>
      </c>
      <c r="Q11" s="13" t="inlineStr">
        <is>
          <t>Tope duro de 60 personas sentadas: no sostiene charla con montaje para 120</t>
        </is>
      </c>
      <c r="R11" s="9" t="inlineStr">
        <is>
          <t>Pendiente</t>
        </is>
      </c>
      <c r="S11" s="10" t="n"/>
      <c r="T11" s="9" t="n"/>
      <c r="U11" s="9" t="n"/>
      <c r="V11" s="13" t="inlineStr">
        <is>
          <t>hotelelzarzo.com/fiestas-privadas-medellin-exclusivas-el-zarzo</t>
        </is>
      </c>
    </row>
    <row r="12" ht="74" customHeight="1">
      <c r="A12" s="5" t="n">
        <v>7</v>
      </c>
      <c r="B12" s="6" t="inlineStr">
        <is>
          <t>Binn Hotel · Etro Rooftop</t>
        </is>
      </c>
      <c r="C12" s="7" t="inlineStr">
        <is>
          <t>Complemento — alojamiento VIP</t>
        </is>
      </c>
      <c r="D12" s="7" t="inlineStr">
        <is>
          <t>El Poblado</t>
        </is>
      </c>
      <c r="E12" s="7" t="inlineStr">
        <is>
          <t>Carrera 25 # 10-51</t>
        </is>
      </c>
      <c r="F12" s="8" t="n">
        <v>5</v>
      </c>
      <c r="G12" s="7" t="inlineStr">
        <is>
          <t>Rooftop, restaurante La Makha, salas privadas y suites panorámicas (capacidades a confirmar)</t>
        </is>
      </c>
      <c r="H12" s="7" t="inlineStr">
        <is>
          <t>No como salón principal</t>
        </is>
      </c>
      <c r="I12" s="7" t="inlineStr">
        <is>
          <t>Parcial</t>
        </is>
      </c>
      <c r="J12" s="7" t="inlineStr">
        <is>
          <t>+57 604 322 0289</t>
        </is>
      </c>
      <c r="K12" s="7" t="inlineStr">
        <is>
          <t>+57 323 476 1812</t>
        </is>
      </c>
      <c r="L12" s="7" t="inlineStr">
        <is>
          <t>Vía formulario en binnhotel.com</t>
        </is>
      </c>
      <c r="M12" s="7" t="inlineStr">
        <is>
          <t>binnhotel.com</t>
        </is>
      </c>
      <c r="N12" s="7" t="inlineStr">
        <is>
          <t>Propio (La Makha)</t>
        </is>
      </c>
      <c r="O12" s="7" t="inlineStr">
        <is>
          <t>Tarifas de hospedaje y de evento a solicitar</t>
        </is>
      </c>
      <c r="P12" s="7" t="inlineStr">
        <is>
          <t>Takeover boutique: alojar al círculo más cercano, spa privado y activación de bienvenida la noche previa</t>
        </is>
      </c>
      <c r="Q12" s="7" t="inlineStr">
        <is>
          <t>No reemplaza el salón principal: es el complemento de hospitalidad</t>
        </is>
      </c>
      <c r="R12" s="9" t="inlineStr">
        <is>
          <t>Pendiente</t>
        </is>
      </c>
      <c r="S12" s="10" t="n"/>
      <c r="T12" s="9" t="n"/>
      <c r="U12" s="9" t="n"/>
      <c r="V12" s="7" t="inlineStr">
        <is>
          <t>binnhotel.com/luxury-corporate-events-medellin</t>
        </is>
      </c>
    </row>
    <row r="13" ht="74" customHeight="1">
      <c r="A13" s="11" t="n">
        <v>8</v>
      </c>
      <c r="B13" s="12" t="inlineStr">
        <is>
          <t>Jardín Botánico · Orquideorama</t>
        </is>
      </c>
      <c r="C13" s="13" t="inlineStr">
        <is>
          <t>Segunda línea — arquitectura</t>
        </is>
      </c>
      <c r="D13" s="13" t="inlineStr">
        <is>
          <t>Norte, Calle 73</t>
        </is>
      </c>
      <c r="E13" s="13" t="inlineStr">
        <is>
          <t>Calle 73 # 51D-14</t>
        </is>
      </c>
      <c r="F13" s="14" t="n">
        <v>25</v>
      </c>
      <c r="G13" s="13" t="inlineStr">
        <is>
          <t>Orquideorama: 3.960 m² totales, 3.304 m² cubiertos. 20 espacios entre cerrados (Humboldt, Linneo, Gran Salón Mutis, Restrepo, Auditorio Aurita López) y exteriores</t>
        </is>
      </c>
      <c r="H13" s="13" t="inlineStr">
        <is>
          <t>Sí en salón cerrado; el Orquideorama queda enorme</t>
        </is>
      </c>
      <c r="I13" s="13" t="inlineStr">
        <is>
          <t>Sí</t>
        </is>
      </c>
      <c r="J13" s="13" t="inlineStr">
        <is>
          <t>+57 604 444 5500 ext. 113 / 116</t>
        </is>
      </c>
      <c r="K13" s="13" t="inlineStr">
        <is>
          <t>+57 318 581 1675</t>
        </is>
      </c>
      <c r="L13" s="13" t="inlineStr">
        <is>
          <t>Vía formulario en botanicomedellin.org</t>
        </is>
      </c>
      <c r="M13" s="13" t="inlineStr">
        <is>
          <t>botanicomedellin.org</t>
        </is>
      </c>
      <c r="N13" s="13" t="inlineStr">
        <is>
          <t>Propio / aliado</t>
        </is>
      </c>
      <c r="O13" s="13" t="inlineStr">
        <is>
          <t>Tarifa a solicitar. Atención L a V, 8:00-12:00 y 14:00-16:00</t>
        </is>
      </c>
      <c r="P13" s="13" t="inlineStr">
        <is>
          <t>Arquitectura icónica y cubierta, con 20 espacios para elegir escala. Permite locación comercial de foto y video</t>
        </is>
      </c>
      <c r="Q13" s="13" t="inlineStr">
        <is>
          <t>El Orquideorama es escala masiva y poco privatizable; habría que evaluar el Gran Salón Mutis para 120</t>
        </is>
      </c>
      <c r="R13" s="9" t="inlineStr">
        <is>
          <t>Pendiente</t>
        </is>
      </c>
      <c r="S13" s="10" t="n"/>
      <c r="T13" s="9" t="n"/>
      <c r="U13" s="9" t="n"/>
      <c r="V13" s="13" t="inlineStr">
        <is>
          <t>botanicomedellin.org/vivenos/eventos-y-convenciones</t>
        </is>
      </c>
    </row>
    <row r="14" ht="74" customHeight="1">
      <c r="A14" s="5" t="n">
        <v>9</v>
      </c>
      <c r="B14" s="6" t="inlineStr">
        <is>
          <t>Redman Comedor &amp; Bar</t>
        </is>
      </c>
      <c r="C14" s="7" t="inlineStr">
        <is>
          <t>Segunda línea — vista</t>
        </is>
      </c>
      <c r="D14" s="7" t="inlineStr">
        <is>
          <t>Los Balsos, El Poblado</t>
        </is>
      </c>
      <c r="E14" s="7" t="inlineStr">
        <is>
          <t>Calle 16A Sur # 9E-157</t>
        </is>
      </c>
      <c r="F14" s="8" t="n">
        <v>10</v>
      </c>
      <c r="G14" s="7" t="inlineStr">
        <is>
          <t>De 12 a 300 según formato; trabaja cómodo hasta ~100</t>
        </is>
      </c>
      <c r="H14" s="7" t="inlineStr">
        <is>
          <t>No — se queda corto en 120 sentadas</t>
        </is>
      </c>
      <c r="I14" s="7" t="inlineStr">
        <is>
          <t>Parcial — terraza abierta + interior climatizado</t>
        </is>
      </c>
      <c r="J14" s="7" t="inlineStr">
        <is>
          <t>Vía WhatsApp desde redman.com.co</t>
        </is>
      </c>
      <c r="K14" s="7" t="inlineStr">
        <is>
          <t>Vía web</t>
        </is>
      </c>
      <c r="L14" s="7" t="inlineStr">
        <is>
          <t>Vía formulario en redman.com.co</t>
        </is>
      </c>
      <c r="M14" s="7" t="inlineStr">
        <is>
          <t>redman.com.co</t>
        </is>
      </c>
      <c r="N14" s="7" t="inlineStr">
        <is>
          <t>Propio</t>
        </is>
      </c>
      <c r="O14" s="7" t="inlineStr">
        <is>
          <t>Piden reservar con mínimo 2 semanas para grupos de más de 30</t>
        </is>
      </c>
      <c r="P14" s="7" t="inlineStr">
        <is>
          <t>Una de las mejores vistas al atardecer de El Poblado, con dos espacios distintos bajo un mismo techo</t>
        </is>
      </c>
      <c r="Q14" s="7" t="inlineStr">
        <is>
          <t>Capacidad insuficiente para 120 en formato sentado con escenario</t>
        </is>
      </c>
      <c r="R14" s="9" t="inlineStr">
        <is>
          <t>Pendiente</t>
        </is>
      </c>
      <c r="S14" s="10" t="n"/>
      <c r="T14" s="9" t="n"/>
      <c r="U14" s="9" t="n"/>
      <c r="V14" s="7" t="inlineStr">
        <is>
          <t>redman.com.co/locaciones-eventos-poblado-medellin</t>
        </is>
      </c>
    </row>
    <row r="15" ht="74" customHeight="1">
      <c r="A15" s="11" t="n">
        <v>10</v>
      </c>
      <c r="B15" s="12" t="inlineStr">
        <is>
          <t>Aguas Claras</t>
        </is>
      </c>
      <c r="C15" s="13" t="inlineStr">
        <is>
          <t>Descartada — distancia</t>
        </is>
      </c>
      <c r="D15" s="13" t="inlineStr">
        <is>
          <t>Girardota</t>
        </is>
      </c>
      <c r="E15" s="13" t="inlineStr">
        <is>
          <t>Girardota, Antioquia (peaje en ruta)</t>
        </is>
      </c>
      <c r="F15" s="14" t="n">
        <v>60</v>
      </c>
      <c r="G15" s="13" t="inlineStr">
        <is>
          <t>Centro de eventos campestre con capilla, lago y cascadas</t>
        </is>
      </c>
      <c r="H15" s="13" t="inlineStr">
        <is>
          <t>Sí</t>
        </is>
      </c>
      <c r="I15" s="13" t="inlineStr">
        <is>
          <t>Sí</t>
        </is>
      </c>
      <c r="J15" s="13" t="inlineStr">
        <is>
          <t>Vía formulario</t>
        </is>
      </c>
      <c r="K15" s="13" t="inlineStr">
        <is>
          <t>—</t>
        </is>
      </c>
      <c r="L15" s="13" t="inlineStr">
        <is>
          <t>Vía formulario en aguasclaraseventos.com</t>
        </is>
      </c>
      <c r="M15" s="13" t="inlineStr">
        <is>
          <t>aguasclaraseventos.com</t>
        </is>
      </c>
      <c r="N15" s="13" t="inlineStr">
        <is>
          <t>Todo incluido</t>
        </is>
      </c>
      <c r="O15" s="13" t="inlineStr">
        <is>
          <t>Paquetes todo incluido con wedding planner y alojamiento</t>
        </is>
      </c>
      <c r="P15" s="13" t="inlineStr">
        <is>
          <t>Naturaleza, capilla, lago y cascadas; opción de alojamiento en sitio</t>
        </is>
      </c>
      <c r="Q15" s="13" t="inlineStr">
        <is>
          <t>40 min de Medellín y 1 h del aeropuerto: inviable para un evento de 4 horas</t>
        </is>
      </c>
      <c r="R15" s="9" t="inlineStr">
        <is>
          <t>Descartada</t>
        </is>
      </c>
      <c r="S15" s="10" t="n"/>
      <c r="T15" s="9" t="n"/>
      <c r="U15" s="9" t="n"/>
      <c r="V15" s="13" t="inlineStr">
        <is>
          <t>aguasclaraseventos.com</t>
        </is>
      </c>
    </row>
    <row r="16" ht="74" customHeight="1">
      <c r="A16" s="5" t="n">
        <v>11</v>
      </c>
      <c r="B16" s="6" t="inlineStr">
        <is>
          <t>Montpellier Casa de Eventos</t>
        </is>
      </c>
      <c r="C16" s="7" t="inlineStr">
        <is>
          <t>Descartada — sin ventaja</t>
        </is>
      </c>
      <c r="D16" s="7" t="inlineStr">
        <is>
          <t>Área metropolitana</t>
        </is>
      </c>
      <c r="E16" s="7" t="inlineStr">
        <is>
          <t>A confirmar</t>
        </is>
      </c>
      <c r="F16" s="8" t="n"/>
      <c r="G16" s="7" t="inlineStr">
        <is>
          <t>Zona verde 150 · Salón Barceló 150</t>
        </is>
      </c>
      <c r="H16" s="7" t="inlineStr">
        <is>
          <t>Sí</t>
        </is>
      </c>
      <c r="I16" s="7" t="inlineStr">
        <is>
          <t>Parcial</t>
        </is>
      </c>
      <c r="J16" s="7" t="inlineStr">
        <is>
          <t>Vía formulario</t>
        </is>
      </c>
      <c r="K16" s="7" t="inlineStr">
        <is>
          <t>—</t>
        </is>
      </c>
      <c r="L16" s="7" t="inlineStr">
        <is>
          <t>Vía directorio de eventos</t>
        </is>
      </c>
      <c r="M16" s="7" t="inlineStr">
        <is>
          <t>matrimoniosmedellin.com</t>
        </is>
      </c>
      <c r="N16" s="7" t="inlineStr">
        <is>
          <t>A confirmar</t>
        </is>
      </c>
      <c r="O16" s="7" t="inlineStr">
        <is>
          <t>Tarifa a solicitar</t>
        </is>
      </c>
      <c r="P16" s="7" t="inlineStr">
        <is>
          <t>Combina interior y exterior con jardines y parqueadero</t>
        </is>
      </c>
      <c r="Q16" s="7" t="inlineStr">
        <is>
          <t>No aporta ventaja estética ni logística sobre las tres finalistas</t>
        </is>
      </c>
      <c r="R16" s="9" t="inlineStr">
        <is>
          <t>Descartada</t>
        </is>
      </c>
      <c r="S16" s="10" t="n"/>
      <c r="T16" s="9" t="n"/>
      <c r="U16" s="9" t="n"/>
      <c r="V16" s="7" t="inlineStr">
        <is>
          <t>matrimoniosmedellin.com/lugares</t>
        </is>
      </c>
    </row>
  </sheetData>
  <autoFilter ref="A5:V16"/>
  <mergeCells count="3">
    <mergeCell ref="A2:V2"/>
    <mergeCell ref="A1:V1"/>
    <mergeCell ref="A3:V3"/>
  </mergeCells>
  <dataValidations count="1">
    <dataValidation sqref="R6:R16" showDropDown="0" showInputMessage="0" showErrorMessage="0" allowBlank="1" type="list">
      <formula1>"Pendiente,Contactado,Visita agendada,Cotizado,Hold confirmado,Descartada"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7" customWidth="1" min="3" max="3"/>
    <col width="15" customWidth="1" min="4" max="4"/>
    <col width="14" customWidth="1" min="5" max="5"/>
    <col width="17" customWidth="1" min="6" max="6"/>
    <col width="14" customWidth="1" min="7" max="7"/>
    <col width="46" customWidth="1" min="8" max="8"/>
  </cols>
  <sheetData>
    <row r="1" ht="30" customHeight="1">
      <c r="A1" s="1" t="inlineStr">
        <is>
          <t>MATRIZ DE DECISIÓN — qué locación gana y por qué</t>
        </is>
      </c>
    </row>
    <row r="2" ht="18" customHeight="1">
      <c r="A2" s="2" t="inlineStr">
        <is>
          <t>Puntajes de 1 a 5 (5 = mejor). El total es ponderado: cambiá los pesos en azul y el ranking se recalcula solo.</t>
        </is>
      </c>
    </row>
    <row r="3" ht="17" customHeight="1">
      <c r="A3" s="3" t="inlineStr">
        <is>
          <t>Celdas en azul = editables (pesos y puntajes). Los totales son fórmulas: no los sobrescribas.</t>
        </is>
      </c>
    </row>
    <row r="5" ht="32" customHeight="1">
      <c r="A5" s="4" t="inlineStr">
        <is>
          <t>Criterio</t>
        </is>
      </c>
      <c r="B5" s="4" t="inlineStr">
        <is>
          <t>Peso</t>
        </is>
      </c>
      <c r="C5" s="4" t="inlineStr">
        <is>
          <t>Museo El Castillo</t>
        </is>
      </c>
      <c r="D5" s="4" t="inlineStr">
        <is>
          <t>Palau Eventos</t>
        </is>
      </c>
      <c r="E5" s="4" t="inlineStr">
        <is>
          <t>MAMM piso 5</t>
        </is>
      </c>
      <c r="F5" s="4" t="inlineStr">
        <is>
          <t>Hacienda Fizebad</t>
        </is>
      </c>
      <c r="G5" s="4" t="inlineStr">
        <is>
          <t>Envy Rooftop</t>
        </is>
      </c>
      <c r="H5" s="4" t="inlineStr">
        <is>
          <t>Por qué pesa lo que pesa</t>
        </is>
      </c>
    </row>
    <row r="6" ht="30" customHeight="1">
      <c r="A6" s="15" t="inlineStr">
        <is>
          <t>Belleza y carga simbólica</t>
        </is>
      </c>
      <c r="B6" s="16" t="n">
        <v>0.35</v>
      </c>
      <c r="C6" s="17" t="n">
        <v>5</v>
      </c>
      <c r="D6" s="17" t="n">
        <v>4</v>
      </c>
      <c r="E6" s="17" t="n">
        <v>4</v>
      </c>
      <c r="F6" s="17" t="n">
        <v>5</v>
      </c>
      <c r="G6" s="17" t="n">
        <v>4</v>
      </c>
      <c r="H6" s="15" t="inlineStr">
        <is>
          <t>Es el criterio que puso la clienta por delante de todo</t>
        </is>
      </c>
    </row>
    <row r="7" ht="30" customHeight="1">
      <c r="A7" s="15" t="inlineStr">
        <is>
          <t>Riesgo de lluvia resuelto</t>
        </is>
      </c>
      <c r="B7" s="16" t="n">
        <v>0.25</v>
      </c>
      <c r="C7" s="17" t="n">
        <v>2</v>
      </c>
      <c r="D7" s="17" t="n">
        <v>5</v>
      </c>
      <c r="E7" s="17" t="n">
        <v>4</v>
      </c>
      <c r="F7" s="17" t="n">
        <v>4</v>
      </c>
      <c r="G7" s="17" t="n">
        <v>1</v>
      </c>
      <c r="H7" s="15" t="inlineStr">
        <is>
          <t>Octubre es el mes más lluvioso y llueve de tarde, dentro de la franja</t>
        </is>
      </c>
    </row>
    <row r="8" ht="30" customHeight="1">
      <c r="A8" s="15" t="inlineStr">
        <is>
          <t>Capacidad real para 120 sentadas</t>
        </is>
      </c>
      <c r="B8" s="16" t="n">
        <v>0.15</v>
      </c>
      <c r="C8" s="17" t="n">
        <v>3</v>
      </c>
      <c r="D8" s="17" t="n">
        <v>5</v>
      </c>
      <c r="E8" s="17" t="n">
        <v>5</v>
      </c>
      <c r="F8" s="17" t="n">
        <v>5</v>
      </c>
      <c r="G8" s="17" t="n">
        <v>2</v>
      </c>
      <c r="H8" s="15" t="inlineStr">
        <is>
          <t>120 con tarima y pantalla, no 120 de pie</t>
        </is>
      </c>
    </row>
    <row r="9" ht="30" customHeight="1">
      <c r="A9" s="15" t="inlineStr">
        <is>
          <t>Logística y traslado</t>
        </is>
      </c>
      <c r="B9" s="16" t="n">
        <v>0.15</v>
      </c>
      <c r="C9" s="17" t="n">
        <v>4</v>
      </c>
      <c r="D9" s="17" t="n">
        <v>4</v>
      </c>
      <c r="E9" s="17" t="n">
        <v>5</v>
      </c>
      <c r="F9" s="17" t="n">
        <v>1</v>
      </c>
      <c r="G9" s="17" t="n">
        <v>5</v>
      </c>
      <c r="H9" s="15" t="inlineStr">
        <is>
          <t>Evento de 4 h: cada minuto de viaje se descuenta de la experiencia</t>
        </is>
      </c>
    </row>
    <row r="10" ht="30" customHeight="1">
      <c r="A10" s="15" t="inlineStr">
        <is>
          <t>Privacidad y sensación de círculo cerrado</t>
        </is>
      </c>
      <c r="B10" s="16" t="n">
        <v>0.1</v>
      </c>
      <c r="C10" s="17" t="n">
        <v>5</v>
      </c>
      <c r="D10" s="17" t="n">
        <v>4</v>
      </c>
      <c r="E10" s="17" t="n">
        <v>3</v>
      </c>
      <c r="F10" s="17" t="n">
        <v>5</v>
      </c>
      <c r="G10" s="17" t="n">
        <v>2</v>
      </c>
      <c r="H10" s="15" t="inlineStr">
        <is>
          <t>El encuentro es del círculo interno, no un evento abierto</t>
        </is>
      </c>
    </row>
    <row r="11" ht="26" customHeight="1">
      <c r="A11" s="18" t="inlineStr">
        <is>
          <t>Suma de pesos (debe dar 100%)</t>
        </is>
      </c>
      <c r="B11" s="19">
        <f>SUM(B6:B10)</f>
        <v/>
      </c>
      <c r="C11" s="20">
        <f>SUMPRODUCT($B$6:$B$10,C6:C10)</f>
        <v/>
      </c>
      <c r="D11" s="20">
        <f>SUMPRODUCT($B$6:$B$10,D6:D10)</f>
        <v/>
      </c>
      <c r="E11" s="20">
        <f>SUMPRODUCT($B$6:$B$10,E6:E10)</f>
        <v/>
      </c>
      <c r="F11" s="20">
        <f>SUMPRODUCT($B$6:$B$10,F6:F10)</f>
        <v/>
      </c>
      <c r="G11" s="20">
        <f>SUMPRODUCT($B$6:$B$10,G6:G10)</f>
        <v/>
      </c>
      <c r="H11" s="21" t="inlineStr">
        <is>
          <t>PUNTAJE PONDERADO</t>
        </is>
      </c>
    </row>
    <row r="13" ht="30" customHeight="1">
      <c r="A13" s="22" t="inlineStr">
        <is>
          <t>Lectura: El Castillo y Palau empatan arriba por caminos opuestos — el castillo gana en belleza y pierde en lluvia; Palau al revés. Si se aprueba la carpa, El Castillo se despega. Si la fecha aprieta, Palau es la decisión sensata.</t>
        </is>
      </c>
    </row>
  </sheetData>
  <mergeCells count="4">
    <mergeCell ref="A3:H3"/>
    <mergeCell ref="A2:H2"/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8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CHECKLIST — lo que hay que preguntar en cada llamada</t>
        </is>
      </c>
    </row>
    <row r="2" ht="18" customHeight="1">
      <c r="A2" s="2" t="inlineStr">
        <is>
          <t>Ocho preguntas que definen si una locación es viable. Se completan durante la llamada, no después.</t>
        </is>
      </c>
    </row>
    <row r="3" ht="17" customHeight="1">
      <c r="A3" s="3" t="inlineStr">
        <is>
          <t>Las tres columnas de la derecha son para anotar la respuesta de cada venue.</t>
        </is>
      </c>
    </row>
    <row r="5" ht="32" customHeight="1">
      <c r="A5" s="4" t="inlineStr">
        <is>
          <t>#</t>
        </is>
      </c>
      <c r="B5" s="4" t="inlineStr">
        <is>
          <t>Pregunta</t>
        </is>
      </c>
      <c r="C5" s="4" t="inlineStr">
        <is>
          <t>Por qué importa</t>
        </is>
      </c>
      <c r="D5" s="4" t="inlineStr">
        <is>
          <t>Museo El Castillo</t>
        </is>
      </c>
      <c r="E5" s="4" t="inlineStr">
        <is>
          <t>Palau Eventos</t>
        </is>
      </c>
      <c r="F5" s="4" t="inlineStr">
        <is>
          <t>MAMM piso 5</t>
        </is>
      </c>
    </row>
    <row r="6" ht="46" customHeight="1">
      <c r="A6" s="23" t="n">
        <v>1</v>
      </c>
      <c r="B6" s="6" t="inlineStr">
        <is>
          <t>Exclusividad real</t>
        </is>
      </c>
      <c r="C6" s="7" t="inlineStr">
        <is>
          <t>¿Hay otro evento en el predio ese día? ¿A qué hora entra público general y a qué hora se cierra de verdad?</t>
        </is>
      </c>
      <c r="D6" s="9" t="n"/>
      <c r="E6" s="9" t="n"/>
      <c r="F6" s="9" t="n"/>
    </row>
    <row r="7" ht="46" customHeight="1">
      <c r="A7" s="23" t="n">
        <v>2</v>
      </c>
      <c r="B7" s="6" t="inlineStr">
        <is>
          <t>Catering</t>
        </is>
      </c>
      <c r="C7" s="7" t="inlineStr">
        <is>
          <t>¿Proveedor propio obligatorio, lista cerrada o cocina externa con derecho de descorche? Define la mitad del presupuesto.</t>
        </is>
      </c>
      <c r="D7" s="9" t="n"/>
      <c r="E7" s="9" t="n"/>
      <c r="F7" s="9" t="n"/>
    </row>
    <row r="8" ht="46" customHeight="1">
      <c r="A8" s="23" t="n">
        <v>3</v>
      </c>
      <c r="B8" s="6" t="inlineStr">
        <is>
          <t>Sonido</t>
        </is>
      </c>
      <c r="C8" s="7" t="inlineStr">
        <is>
          <t>Tope de decibeles y hora límite. En museos y zonas residenciales de El Poblado es la restricción que aparece tarde.</t>
        </is>
      </c>
      <c r="D8" s="9" t="n"/>
      <c r="E8" s="9" t="n"/>
      <c r="F8" s="9" t="n"/>
    </row>
    <row r="9" ht="46" customHeight="1">
      <c r="A9" s="23" t="n">
        <v>4</v>
      </c>
      <c r="B9" s="6" t="inlineStr">
        <is>
          <t>Plan lluvia por escrito</t>
        </is>
      </c>
      <c r="C9" s="7" t="inlineStr">
        <is>
          <t>¿Qué espacio alterno se garantiza, con qué capacidad, quién decide el cambio de montaje y a qué hora?</t>
        </is>
      </c>
      <c r="D9" s="9" t="n"/>
      <c r="E9" s="9" t="n"/>
      <c r="F9" s="9" t="n"/>
    </row>
    <row r="10" ht="46" customHeight="1">
      <c r="A10" s="23" t="n">
        <v>5</v>
      </c>
      <c r="B10" s="6" t="inlineStr">
        <is>
          <t>Montaje y desmontaje</t>
        </is>
      </c>
      <c r="C10" s="7" t="inlineStr">
        <is>
          <t>¿Cuántas horas antes se puede entrar? Si el ingreso es a las 14:00 para un evento de 16:00, la producción no cabe.</t>
        </is>
      </c>
      <c r="D10" s="9" t="n"/>
      <c r="E10" s="9" t="n"/>
      <c r="F10" s="9" t="n"/>
    </row>
    <row r="11" ht="46" customHeight="1">
      <c r="A11" s="23" t="n">
        <v>6</v>
      </c>
      <c r="B11" s="6" t="inlineStr">
        <is>
          <t>Derechos de imagen</t>
        </is>
      </c>
      <c r="C11" s="7" t="inlineStr">
        <is>
          <t>Permiso de filmación y foto profesional, uso comercial en redes y si lo cobran. Todo el encuentro se va a grabar.</t>
        </is>
      </c>
      <c r="D11" s="9" t="n"/>
      <c r="E11" s="9" t="n"/>
      <c r="F11" s="9" t="n"/>
    </row>
    <row r="12" ht="46" customHeight="1">
      <c r="A12" s="23" t="n">
        <v>7</v>
      </c>
      <c r="B12" s="6" t="inlineStr">
        <is>
          <t>Parqueadero y llegada</t>
        </is>
      </c>
      <c r="C12" s="7" t="inlineStr">
        <is>
          <t>Cupos, valet y punto de descenso cubierto. Con lluvia a las 16:00, el ingreso es el primer momento del evento.</t>
        </is>
      </c>
      <c r="D12" s="9" t="n"/>
      <c r="E12" s="9" t="n"/>
      <c r="F12" s="9" t="n"/>
    </row>
    <row r="13" ht="46" customHeight="1">
      <c r="A13" s="23" t="n">
        <v>8</v>
      </c>
      <c r="B13" s="6" t="inlineStr">
        <is>
          <t>Baños y guardarropa</t>
        </is>
      </c>
      <c r="C13" s="7" t="inlineStr">
        <is>
          <t>Cantidad para 120 mujeres y espacio de retoque. Es el detalle que define si el lugar se siente VIP o no.</t>
        </is>
      </c>
      <c r="D13" s="9" t="n"/>
      <c r="E13" s="9" t="n"/>
      <c r="F13" s="9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70" customWidth="1" min="4" max="4"/>
    <col width="16" customWidth="1" min="5" max="5"/>
    <col width="17" customWidth="1" min="6" max="6"/>
  </cols>
  <sheetData>
    <row r="1" ht="30" customHeight="1">
      <c r="A1" s="1" t="inlineStr">
        <is>
          <t>PLAN DE SIETE DÍAS — de la consulta al contrato</t>
        </is>
      </c>
    </row>
    <row r="2" ht="18" customHeight="1">
      <c r="A2" s="2" t="inlineStr">
        <is>
          <t>Con 41 días a la fecha del evento, la disponibilidad manda sobre la preferencia: no se elige la locación, se elige entre las que digan sí.</t>
        </is>
      </c>
    </row>
    <row r="3" ht="17" customHeight="1">
      <c r="A3" s="3" t="inlineStr">
        <is>
          <t>Cambiá la fecha de arranque en B5 y todas las fechas del plan se recalculan.</t>
        </is>
      </c>
    </row>
    <row r="5">
      <c r="A5" s="24" t="inlineStr">
        <is>
          <t>Fecha de arranque:</t>
        </is>
      </c>
      <c r="B5" s="25">
        <f>DATE(2026,9,3)</f>
        <v/>
      </c>
      <c r="D5" s="24" t="inlineStr">
        <is>
          <t>Fecha del evento:</t>
        </is>
      </c>
      <c r="E5" s="25">
        <f>DATE(2026,10,15)</f>
        <v/>
      </c>
      <c r="F5" s="26">
        <f>"Faltan "&amp;($E$5-$B$5)&amp;" días"</f>
        <v/>
      </c>
    </row>
    <row r="7" ht="32" customHeight="1">
      <c r="A7" s="4" t="inlineStr">
        <is>
          <t>Día</t>
        </is>
      </c>
      <c r="B7" s="4" t="inlineStr">
        <is>
          <t>Fecha</t>
        </is>
      </c>
      <c r="C7" s="4" t="inlineStr">
        <is>
          <t>Hito</t>
        </is>
      </c>
      <c r="D7" s="4" t="inlineStr">
        <is>
          <t>Qué se hace exactamente</t>
        </is>
      </c>
      <c r="E7" s="4" t="inlineStr">
        <is>
          <t>Responsable</t>
        </is>
      </c>
      <c r="F7" s="4" t="inlineStr">
        <is>
          <t>Estado</t>
        </is>
      </c>
    </row>
    <row r="8" ht="54" customHeight="1">
      <c r="A8" s="27" t="inlineStr">
        <is>
          <t>Día 1</t>
        </is>
      </c>
      <c r="B8" s="28">
        <f>$B$5+0</f>
        <v/>
      </c>
      <c r="C8" s="6" t="inlineStr">
        <is>
          <t>Consulta simultánea de disponibilidad</t>
        </is>
      </c>
      <c r="D8" s="7" t="inlineStr">
        <is>
          <t>Las tres finalistas al mismo tiempo para el jueves 15/10, de 15:00 a 21:00 con montaje y desmontaje. Pedir explícitamente franja de tarde: al no bloquear la cena, muchas locaciones aceptan tarifa de segundo evento del día.</t>
        </is>
      </c>
      <c r="E8" s="9" t="n"/>
      <c r="F8" s="9" t="inlineStr">
        <is>
          <t>Pendiente</t>
        </is>
      </c>
    </row>
    <row r="9" ht="54" customHeight="1">
      <c r="A9" s="27" t="inlineStr">
        <is>
          <t>Día 2-3</t>
        </is>
      </c>
      <c r="B9" s="28">
        <f>$B$5+1</f>
        <v/>
      </c>
      <c r="C9" s="6" t="inlineStr">
        <is>
          <t>Visita técnica y hold sin cargo</t>
        </is>
      </c>
      <c r="D9" s="7" t="inlineStr">
        <is>
          <t>Recorrido a las 17:00, no al mediodía: hay que ver la luz real del evento. Fotografiar el set de la foto grupal y medir el punto de tarima.</t>
        </is>
      </c>
      <c r="E9" s="9" t="n"/>
      <c r="F9" s="9" t="inlineStr">
        <is>
          <t>Pendiente</t>
        </is>
      </c>
    </row>
    <row r="10" ht="54" customHeight="1">
      <c r="A10" s="27" t="inlineStr">
        <is>
          <t>Día 4</t>
        </is>
      </c>
      <c r="B10" s="28">
        <f>$B$5+4</f>
        <v/>
      </c>
      <c r="C10" s="6" t="inlineStr">
        <is>
          <t>Cotización de carpa y plan lluvia</t>
        </is>
      </c>
      <c r="D10" s="7" t="inlineStr">
        <is>
          <t>Solo para El Castillo y para la terraza del MAMM. Sin ese número la comparación de presupuestos no es real.</t>
        </is>
      </c>
      <c r="E10" s="9" t="n"/>
      <c r="F10" s="9" t="inlineStr">
        <is>
          <t>Pendiente</t>
        </is>
      </c>
    </row>
    <row r="11" ht="54" customHeight="1">
      <c r="A11" s="27" t="inlineStr">
        <is>
          <t>Día 5</t>
        </is>
      </c>
      <c r="B11" s="28">
        <f>$B$5+5</f>
        <v/>
      </c>
      <c r="C11" s="6" t="inlineStr">
        <is>
          <t>Presentación a Valentina</t>
        </is>
      </c>
      <c r="D11" s="7" t="inlineStr">
        <is>
          <t>Dos opciones vivas, no tres: la más hermosa y la más segura, con render de montaje y el guion de las 4 horas marcado sobre la hora dorada.</t>
        </is>
      </c>
      <c r="E11" s="9" t="n"/>
      <c r="F11" s="9" t="inlineStr">
        <is>
          <t>Pendiente</t>
        </is>
      </c>
    </row>
    <row r="12" ht="54" customHeight="1">
      <c r="A12" s="27" t="inlineStr">
        <is>
          <t>Día 6-7</t>
        </is>
      </c>
      <c r="B12" s="28">
        <f>$B$5+6</f>
        <v/>
      </c>
      <c r="C12" s="6" t="inlineStr">
        <is>
          <t>Reserva y bloqueo de proveedores</t>
        </is>
      </c>
      <c r="D12" s="7" t="inlineStr">
        <is>
          <t>Anticipo, contrato con cláusula de lluvia y bloqueo de catering, sonido, iluminación y equipo de foto y video. En 41 días los proveedores son el segundo cuello de botella.</t>
        </is>
      </c>
      <c r="E12" s="9" t="n"/>
      <c r="F12" s="9" t="inlineStr">
        <is>
          <t>Pendiente</t>
        </is>
      </c>
    </row>
    <row r="14" ht="30" customHeight="1">
      <c r="A14" s="22" t="inlineStr">
        <is>
          <t>Nota de calendario: el lunes 12/10 es festivo en Colombia (puente 10-12 oct). La semana previa concentra viajes, así que conviene cerrar proveedores antes del puente. Además, jueves ya tarifa como fin de semana en varias locaciones de Provenza.</t>
        </is>
      </c>
    </row>
  </sheetData>
  <mergeCells count="4">
    <mergeCell ref="A3:F3"/>
    <mergeCell ref="A2:F2"/>
    <mergeCell ref="A14:F14"/>
    <mergeCell ref="A1:F1"/>
  </mergeCells>
  <dataValidations count="1">
    <dataValidation sqref="F8:F12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2026-09-03T16:09:50Z</dcterms:created>
  <dcterms:modified xsi:type="dcterms:W3CDTF">2026-09-03T16:09:50Z</dcterms:modified>
</cp:coreProperties>
</file>